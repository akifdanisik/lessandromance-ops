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Info" sheetId="1" state="visible" r:id="rId1"/>
    <sheet name="Order Form" sheetId="2" state="visible" r:id="rId2"/>
    <sheet name="Style Summary" sheetId="3" state="visible" r:id="rId3"/>
    <sheet name="Terms" sheetId="4" state="visible" r:id="rId4"/>
  </sheets>
  <definedNames>
    <definedName name="AppliedDiscount">'Order Info'!$C$22</definedName>
    <definedName name="MOQ">'Order Info'!$C$17</definedName>
    <definedName name="FullDiscount">'Order Info'!$C$18</definedName>
    <definedName name="_xlnm._FilterDatabase" localSheetId="1" hidden="1">'Order Form'!$A$1:$J$117</definedName>
    <definedName name="_xlnm._FilterDatabase" localSheetId="2" hidden="1">'Style Summary'!$A$1:$F$46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%"/>
    <numFmt numFmtId="166" formatCode="#,##0.00 €"/>
  </numFmts>
  <fonts count="14">
    <font>
      <name val="Calibri"/>
      <family val="2"/>
      <color theme="1"/>
      <sz val="11"/>
      <scheme val="minor"/>
    </font>
    <font>
      <name val="Helvetica"/>
      <b val="1"/>
      <color rgb="001A1A1A"/>
      <sz val="22"/>
    </font>
    <font>
      <name val="Helvetica"/>
      <i val="1"/>
      <color rgb="00555555"/>
      <sz val="11"/>
    </font>
    <font>
      <name val="Helvetica"/>
      <color rgb="00888888"/>
      <sz val="9"/>
    </font>
    <font>
      <name val="Helvetica"/>
      <b val="1"/>
      <color rgb="00555555"/>
      <sz val="10"/>
    </font>
    <font>
      <name val="Helvetica"/>
      <b val="1"/>
      <sz val="12"/>
    </font>
    <font>
      <b val="1"/>
    </font>
    <font>
      <i val="1"/>
      <color rgb="00888888"/>
      <sz val="9"/>
    </font>
    <font>
      <b val="1"/>
      <sz val="11"/>
    </font>
    <font>
      <name val="Helvetica"/>
      <b val="1"/>
      <color rgb="00FFFFFF"/>
      <sz val="10"/>
    </font>
    <font>
      <name val="Helvetica"/>
      <sz val="10"/>
    </font>
    <font>
      <name val="Helvetica"/>
      <b val="1"/>
      <color rgb="001A1A1A"/>
      <sz val="18"/>
    </font>
    <font>
      <name val="Helvetica"/>
      <color rgb="00333333"/>
      <sz val="10"/>
    </font>
    <font>
      <name val="Helvetica"/>
      <b val="1"/>
      <color rgb="001A1A1A"/>
      <sz val="12"/>
    </font>
  </fonts>
  <fills count="7">
    <fill>
      <patternFill/>
    </fill>
    <fill>
      <patternFill patternType="gray125"/>
    </fill>
    <fill>
      <patternFill patternType="solid">
        <fgColor rgb="00F5F1EB"/>
      </patternFill>
    </fill>
    <fill>
      <patternFill patternType="solid">
        <fgColor rgb="00FFF9E6"/>
      </patternFill>
    </fill>
    <fill>
      <patternFill patternType="solid">
        <fgColor rgb="00E8E2D5"/>
      </patternFill>
    </fill>
    <fill>
      <patternFill patternType="solid">
        <fgColor rgb="001A1A1A"/>
      </patternFill>
    </fill>
    <fill>
      <patternFill patternType="solid">
        <fgColor rgb="00FAF8F4"/>
      </patternFill>
    </fill>
  </fills>
  <borders count="6">
    <border>
      <left/>
      <right/>
      <top/>
      <bottom/>
      <diagonal/>
    </border>
    <border>
      <left style="thin">
        <color rgb="00D4CFC4"/>
      </left>
      <right style="thin">
        <color rgb="00D4CFC4"/>
      </right>
      <top style="thin">
        <color rgb="00D4CFC4"/>
      </top>
      <bottom style="thin">
        <color rgb="00D4CFC4"/>
      </bottom>
    </border>
    <border>
      <left/>
      <right/>
      <top style="thin">
        <color rgb="00D4CFC4"/>
      </top>
      <bottom/>
      <diagonal/>
    </border>
    <border>
      <left/>
      <right style="thin">
        <color rgb="00D4CFC4"/>
      </right>
      <top style="thin">
        <color rgb="00D4CFC4"/>
      </top>
      <bottom/>
      <diagonal/>
    </border>
    <border>
      <left/>
      <right/>
      <top style="thin">
        <color rgb="00D4CFC4"/>
      </top>
      <bottom style="thin">
        <color rgb="00D4CFC4"/>
      </bottom>
      <diagonal/>
    </border>
    <border>
      <left/>
      <right style="thin">
        <color rgb="00D4CFC4"/>
      </right>
      <top style="thin">
        <color rgb="00D4CFC4"/>
      </top>
      <bottom style="thin">
        <color rgb="00D4CFC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164" fontId="6" fillId="3" borderId="1" pivotButton="0" quotePrefix="0" xfId="0"/>
    <xf numFmtId="0" fontId="7" fillId="0" borderId="0" pivotButton="0" quotePrefix="0" xfId="0"/>
    <xf numFmtId="165" fontId="6" fillId="3" borderId="1" pivotButton="0" quotePrefix="0" xfId="0"/>
    <xf numFmtId="166" fontId="0" fillId="2" borderId="1" pivotButton="0" quotePrefix="0" xfId="0"/>
    <xf numFmtId="0" fontId="6" fillId="0" borderId="0" pivotButton="0" quotePrefix="0" xfId="0"/>
    <xf numFmtId="165" fontId="8" fillId="4" borderId="1" pivotButton="0" quotePrefix="0" xfId="0"/>
    <xf numFmtId="0" fontId="8" fillId="4" borderId="1" pivotButton="0" quotePrefix="0" xfId="0"/>
    <xf numFmtId="3" fontId="0" fillId="2" borderId="1" pivotButton="0" quotePrefix="0" xfId="0"/>
    <xf numFmtId="165" fontId="0" fillId="2" borderId="1" pivotButton="0" quotePrefix="0" xfId="0"/>
    <xf numFmtId="0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4" fontId="10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4" fontId="10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/>
    </xf>
    <xf numFmtId="3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D6D6"/>
        </patternFill>
      </fill>
    </dxf>
    <dxf>
      <fill>
        <patternFill patternType="solid">
          <fgColor rgb="00FCE4A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LESS AND ROMANCE</t>
        </is>
      </c>
    </row>
    <row r="3">
      <c r="B3" s="2" t="inlineStr">
        <is>
          <t>Wholesale Order Form — Spring/Summer 2026</t>
        </is>
      </c>
    </row>
    <row r="4">
      <c r="B4" s="3" t="inlineStr">
        <is>
          <t>Currency: EUR  •  Prices net of VAT</t>
        </is>
      </c>
    </row>
    <row r="6" ht="22" customHeight="1">
      <c r="B6" s="4" t="inlineStr">
        <is>
          <t>Buyer / Boutique</t>
        </is>
      </c>
      <c r="C6" s="5" t="inlineStr"/>
      <c r="D6" s="6" t="n"/>
      <c r="E6" s="6" t="n"/>
      <c r="F6" s="6" t="n"/>
      <c r="G6" s="7" t="n"/>
    </row>
    <row r="7" ht="22" customHeight="1">
      <c r="B7" s="4" t="inlineStr">
        <is>
          <t>Contact name</t>
        </is>
      </c>
      <c r="C7" s="5" t="inlineStr"/>
      <c r="D7" s="6" t="n"/>
      <c r="E7" s="6" t="n"/>
      <c r="F7" s="6" t="n"/>
      <c r="G7" s="7" t="n"/>
    </row>
    <row r="8" ht="22" customHeight="1">
      <c r="B8" s="4" t="inlineStr">
        <is>
          <t>Email</t>
        </is>
      </c>
      <c r="C8" s="5" t="inlineStr"/>
      <c r="D8" s="6" t="n"/>
      <c r="E8" s="6" t="n"/>
      <c r="F8" s="6" t="n"/>
      <c r="G8" s="7" t="n"/>
    </row>
    <row r="9" ht="22" customHeight="1">
      <c r="B9" s="4" t="inlineStr">
        <is>
          <t>Phone</t>
        </is>
      </c>
      <c r="C9" s="5" t="inlineStr"/>
      <c r="D9" s="6" t="n"/>
      <c r="E9" s="6" t="n"/>
      <c r="F9" s="6" t="n"/>
      <c r="G9" s="7" t="n"/>
    </row>
    <row r="10" ht="22" customHeight="1">
      <c r="B10" s="4" t="inlineStr">
        <is>
          <t>Shipping address</t>
        </is>
      </c>
      <c r="C10" s="5" t="inlineStr"/>
      <c r="D10" s="6" t="n"/>
      <c r="E10" s="6" t="n"/>
      <c r="F10" s="6" t="n"/>
      <c r="G10" s="7" t="n"/>
    </row>
    <row r="11" ht="22" customHeight="1">
      <c r="B11" s="4" t="inlineStr">
        <is>
          <t>VAT / Tax ID</t>
        </is>
      </c>
      <c r="C11" s="5" t="inlineStr"/>
      <c r="D11" s="6" t="n"/>
      <c r="E11" s="6" t="n"/>
      <c r="F11" s="6" t="n"/>
      <c r="G11" s="7" t="n"/>
    </row>
    <row r="12" ht="22" customHeight="1">
      <c r="B12" s="4" t="inlineStr">
        <is>
          <t>Preferred delivery date</t>
        </is>
      </c>
      <c r="C12" s="5" t="inlineStr"/>
      <c r="D12" s="6" t="n"/>
      <c r="E12" s="6" t="n"/>
      <c r="F12" s="6" t="n"/>
      <c r="G12" s="7" t="n"/>
    </row>
    <row r="13" ht="22" customHeight="1">
      <c r="B13" s="4" t="inlineStr">
        <is>
          <t>Payment terms</t>
        </is>
      </c>
      <c r="C13" s="5" t="inlineStr"/>
      <c r="D13" s="6" t="n"/>
      <c r="E13" s="6" t="n"/>
      <c r="F13" s="6" t="n"/>
      <c r="G13" s="7" t="n"/>
    </row>
    <row r="14" ht="22" customHeight="1">
      <c r="B14" s="4" t="inlineStr">
        <is>
          <t>Notes</t>
        </is>
      </c>
      <c r="C14" s="5" t="inlineStr"/>
      <c r="D14" s="6" t="n"/>
      <c r="E14" s="6" t="n"/>
      <c r="F14" s="6" t="n"/>
      <c r="G14" s="7" t="n"/>
    </row>
    <row r="16">
      <c r="B16" s="8" t="inlineStr">
        <is>
          <t>PRICING TIER</t>
        </is>
      </c>
    </row>
    <row r="17">
      <c r="B17" s="4" t="inlineStr">
        <is>
          <t>Minimum Order Quantity (MOQ)</t>
        </is>
      </c>
      <c r="C17" s="9" t="n">
        <v>10000</v>
      </c>
      <c r="D17" s="10" t="inlineStr">
        <is>
          <t>Wholesale subtotal threshold for full discount</t>
        </is>
      </c>
    </row>
    <row r="18">
      <c r="B18" s="4" t="inlineStr">
        <is>
          <t>Full discount (MOQ met)</t>
        </is>
      </c>
      <c r="C18" s="11" t="n">
        <v>0.5</v>
      </c>
      <c r="D18" s="10" t="inlineStr">
        <is>
          <t>Applied to retail when order ≥ MOQ</t>
        </is>
      </c>
    </row>
    <row r="19">
      <c r="B19" s="4" t="inlineStr">
        <is>
          <t>Reduced discount (below MOQ)</t>
        </is>
      </c>
      <c r="C19" s="11" t="n">
        <v>0.225</v>
      </c>
      <c r="D19" s="10" t="inlineStr">
        <is>
          <t>Applied when order &lt; MOQ (range 20–25%)</t>
        </is>
      </c>
    </row>
    <row r="21">
      <c r="B21" s="4" t="inlineStr">
        <is>
          <t>Qualifying subtotal (@ full discount)</t>
        </is>
      </c>
      <c r="C21" s="12">
        <f>SUMPRODUCT('Order Form'!I2:I117,'Order Form'!F2:F117)*$C$18</f>
        <v/>
      </c>
    </row>
    <row r="22">
      <c r="B22" s="13" t="inlineStr">
        <is>
          <t>→ Applied discount rate</t>
        </is>
      </c>
      <c r="C22" s="14">
        <f>IF(C21&gt;=C17,C18,C19)</f>
        <v/>
      </c>
    </row>
    <row r="23">
      <c r="B23" s="13" t="inlineStr">
        <is>
          <t>→ MOQ status</t>
        </is>
      </c>
      <c r="C23" s="15">
        <f>IF(C21&gt;=C17,"MOQ MET — full discount applied","BELOW MOQ — reduced discount applied")</f>
        <v/>
      </c>
    </row>
    <row r="25">
      <c r="B25" s="8" t="inlineStr">
        <is>
          <t>ORDER TOTALS</t>
        </is>
      </c>
    </row>
    <row r="26">
      <c r="B26" s="4" t="inlineStr">
        <is>
          <t>Total units</t>
        </is>
      </c>
      <c r="C26" s="16">
        <f>SUM('Order Form'!I2:I117)</f>
        <v/>
      </c>
    </row>
    <row r="27">
      <c r="B27" s="4" t="inlineStr">
        <is>
          <t>Subtotal at retail (EUR)</t>
        </is>
      </c>
      <c r="C27" s="12">
        <f>SUMPRODUCT('Order Form'!I2:I117,'Order Form'!F2:F117)</f>
        <v/>
      </c>
    </row>
    <row r="28">
      <c r="B28" s="4" t="inlineStr">
        <is>
          <t>Wholesale subtotal (EUR)</t>
        </is>
      </c>
      <c r="C28" s="12">
        <f>SUM('Order Form'!J2:J117)</f>
        <v/>
      </c>
    </row>
    <row r="29">
      <c r="B29" s="4" t="inlineStr">
        <is>
          <t>Effective discount off retail</t>
        </is>
      </c>
      <c r="C29" s="17">
        <f>C22</f>
        <v/>
      </c>
    </row>
    <row r="30">
      <c r="B30" s="4" t="inlineStr">
        <is>
          <t>Amount above / below MOQ</t>
        </is>
      </c>
      <c r="C30" s="12">
        <f>SUM('Order Form'!J2:J117)-C17</f>
        <v/>
      </c>
    </row>
  </sheetData>
  <mergeCells count="9">
    <mergeCell ref="C7:G7"/>
    <mergeCell ref="C12:G12"/>
    <mergeCell ref="C6:G6"/>
    <mergeCell ref="C10:G10"/>
    <mergeCell ref="C11:G11"/>
    <mergeCell ref="C14:G14"/>
    <mergeCell ref="C13:G13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8" customWidth="1" min="3" max="3"/>
    <col width="10" customWidth="1" min="4" max="4"/>
    <col width="16" customWidth="1" min="5" max="5"/>
    <col width="13" customWidth="1" min="6" max="6"/>
    <col width="16" customWidth="1" min="7" max="7"/>
    <col width="9" customWidth="1" min="8" max="8"/>
    <col width="8" customWidth="1" min="9" max="9"/>
    <col width="16" customWidth="1" min="10" max="10"/>
  </cols>
  <sheetData>
    <row r="1" ht="28" customHeight="1">
      <c r="A1" s="18" t="inlineStr">
        <is>
          <t>#</t>
        </is>
      </c>
      <c r="B1" s="18" t="inlineStr">
        <is>
          <t>Style</t>
        </is>
      </c>
      <c r="C1" s="18" t="inlineStr">
        <is>
          <t>Color</t>
        </is>
      </c>
      <c r="D1" s="18" t="inlineStr">
        <is>
          <t>Size</t>
        </is>
      </c>
      <c r="E1" s="18" t="inlineStr">
        <is>
          <t>SKU</t>
        </is>
      </c>
      <c r="F1" s="18" t="inlineStr">
        <is>
          <t>Retail (EUR)</t>
        </is>
      </c>
      <c r="G1" s="18" t="inlineStr">
        <is>
          <t>Wholesale (EUR)</t>
        </is>
      </c>
      <c r="H1" s="18" t="inlineStr">
        <is>
          <t>Stock</t>
        </is>
      </c>
      <c r="I1" s="18" t="inlineStr">
        <is>
          <t>Qty</t>
        </is>
      </c>
      <c r="J1" s="18" t="inlineStr">
        <is>
          <t>Line total (EUR)</t>
        </is>
      </c>
    </row>
    <row r="2">
      <c r="A2" s="19" t="n">
        <v>1</v>
      </c>
      <c r="B2" s="20" t="inlineStr">
        <is>
          <t>SOFT LOUNGE KIMONO</t>
        </is>
      </c>
      <c r="C2" s="20" t="inlineStr">
        <is>
          <t>Bitter Coffee</t>
        </is>
      </c>
      <c r="D2" s="19" t="inlineStr">
        <is>
          <t>STANDART</t>
        </is>
      </c>
      <c r="E2" s="20" t="inlineStr">
        <is>
          <t>47422073733220</t>
        </is>
      </c>
      <c r="F2" s="21" t="n">
        <v>95</v>
      </c>
      <c r="G2" s="21">
        <f>F2*(1-AppliedDiscount)</f>
        <v/>
      </c>
      <c r="H2" s="19" t="n">
        <v>112</v>
      </c>
      <c r="I2" s="22" t="n">
        <v>0</v>
      </c>
      <c r="J2" s="21">
        <f>I2*G2</f>
        <v/>
      </c>
    </row>
    <row r="3">
      <c r="A3" s="23" t="n">
        <v>2</v>
      </c>
      <c r="B3" s="24" t="inlineStr">
        <is>
          <t>SOFT LOUNGE TEE</t>
        </is>
      </c>
      <c r="C3" s="24" t="inlineStr">
        <is>
          <t>Black</t>
        </is>
      </c>
      <c r="D3" s="23" t="inlineStr">
        <is>
          <t>XS</t>
        </is>
      </c>
      <c r="E3" s="24" t="inlineStr">
        <is>
          <t>47420784377956</t>
        </is>
      </c>
      <c r="F3" s="25" t="n">
        <v>65</v>
      </c>
      <c r="G3" s="25">
        <f>F3*(1-AppliedDiscount)</f>
        <v/>
      </c>
      <c r="H3" s="23" t="n">
        <v>10</v>
      </c>
      <c r="I3" s="22" t="n">
        <v>0</v>
      </c>
      <c r="J3" s="25">
        <f>I3*G3</f>
        <v/>
      </c>
    </row>
    <row r="4">
      <c r="A4" s="19" t="n">
        <v>3</v>
      </c>
      <c r="B4" s="20" t="inlineStr">
        <is>
          <t>SOFT LOUNGE TEE</t>
        </is>
      </c>
      <c r="C4" s="20" t="inlineStr">
        <is>
          <t>Butter Yellow</t>
        </is>
      </c>
      <c r="D4" s="19" t="inlineStr">
        <is>
          <t>XS</t>
        </is>
      </c>
      <c r="E4" s="20" t="inlineStr">
        <is>
          <t>47420780085348</t>
        </is>
      </c>
      <c r="F4" s="21" t="n">
        <v>65</v>
      </c>
      <c r="G4" s="21">
        <f>F4*(1-AppliedDiscount)</f>
        <v/>
      </c>
      <c r="H4" s="19" t="n">
        <v>6</v>
      </c>
      <c r="I4" s="22" t="n">
        <v>0</v>
      </c>
      <c r="J4" s="21">
        <f>I4*G4</f>
        <v/>
      </c>
    </row>
    <row r="5">
      <c r="A5" s="23" t="n">
        <v>4</v>
      </c>
      <c r="B5" s="24" t="inlineStr">
        <is>
          <t>SOFT LOUNGE TEE</t>
        </is>
      </c>
      <c r="C5" s="24" t="inlineStr">
        <is>
          <t>Baby Blue</t>
        </is>
      </c>
      <c r="D5" s="23" t="inlineStr">
        <is>
          <t>XS</t>
        </is>
      </c>
      <c r="E5" s="24" t="inlineStr">
        <is>
          <t>47420772843620</t>
        </is>
      </c>
      <c r="F5" s="25" t="n">
        <v>65</v>
      </c>
      <c r="G5" s="25">
        <f>F5*(1-AppliedDiscount)</f>
        <v/>
      </c>
      <c r="H5" s="23" t="n">
        <v>29</v>
      </c>
      <c r="I5" s="22" t="n">
        <v>0</v>
      </c>
      <c r="J5" s="25">
        <f>I5*G5</f>
        <v/>
      </c>
    </row>
    <row r="6">
      <c r="A6" s="23" t="n">
        <v>4</v>
      </c>
      <c r="B6" s="24" t="inlineStr">
        <is>
          <t>SOFT LOUNGE TEE</t>
        </is>
      </c>
      <c r="C6" s="24" t="inlineStr">
        <is>
          <t>Baby Blue</t>
        </is>
      </c>
      <c r="D6" s="23" t="inlineStr">
        <is>
          <t>S</t>
        </is>
      </c>
      <c r="E6" s="24" t="inlineStr">
        <is>
          <t>47420773466212</t>
        </is>
      </c>
      <c r="F6" s="25" t="n">
        <v>65</v>
      </c>
      <c r="G6" s="25">
        <f>F6*(1-AppliedDiscount)</f>
        <v/>
      </c>
      <c r="H6" s="23" t="n">
        <v>7</v>
      </c>
      <c r="I6" s="22" t="n">
        <v>0</v>
      </c>
      <c r="J6" s="25">
        <f>I6*G6</f>
        <v/>
      </c>
    </row>
    <row r="7">
      <c r="A7" s="19" t="n">
        <v>5</v>
      </c>
      <c r="B7" s="20" t="inlineStr">
        <is>
          <t>SOFT LOUNGE TEE</t>
        </is>
      </c>
      <c r="C7" s="20" t="inlineStr">
        <is>
          <t>Grey Melange</t>
        </is>
      </c>
      <c r="D7" s="19" t="inlineStr">
        <is>
          <t>XS</t>
        </is>
      </c>
      <c r="E7" s="20" t="inlineStr">
        <is>
          <t>47420724904036</t>
        </is>
      </c>
      <c r="F7" s="21" t="n">
        <v>65</v>
      </c>
      <c r="G7" s="21">
        <f>F7*(1-AppliedDiscount)</f>
        <v/>
      </c>
      <c r="H7" s="19" t="n">
        <v>16</v>
      </c>
      <c r="I7" s="22" t="n">
        <v>0</v>
      </c>
      <c r="J7" s="21">
        <f>I7*G7</f>
        <v/>
      </c>
    </row>
    <row r="8">
      <c r="A8" s="19" t="n">
        <v>5</v>
      </c>
      <c r="B8" s="20" t="inlineStr">
        <is>
          <t>SOFT LOUNGE TEE</t>
        </is>
      </c>
      <c r="C8" s="20" t="inlineStr">
        <is>
          <t>Grey Melange</t>
        </is>
      </c>
      <c r="D8" s="19" t="inlineStr">
        <is>
          <t>S</t>
        </is>
      </c>
      <c r="E8" s="20" t="inlineStr">
        <is>
          <t>47420725526628</t>
        </is>
      </c>
      <c r="F8" s="21" t="n">
        <v>65</v>
      </c>
      <c r="G8" s="21">
        <f>F8*(1-AppliedDiscount)</f>
        <v/>
      </c>
      <c r="H8" s="19" t="n">
        <v>4</v>
      </c>
      <c r="I8" s="22" t="n">
        <v>0</v>
      </c>
      <c r="J8" s="21">
        <f>I8*G8</f>
        <v/>
      </c>
    </row>
    <row r="9">
      <c r="A9" s="23" t="n">
        <v>6</v>
      </c>
      <c r="B9" s="24" t="inlineStr">
        <is>
          <t>SOFT LOUNGE TEE</t>
        </is>
      </c>
      <c r="C9" s="24" t="inlineStr">
        <is>
          <t>Red</t>
        </is>
      </c>
      <c r="D9" s="23" t="inlineStr">
        <is>
          <t>XS</t>
        </is>
      </c>
      <c r="E9" s="24" t="inlineStr">
        <is>
          <t>47420699344996</t>
        </is>
      </c>
      <c r="F9" s="25" t="n">
        <v>65</v>
      </c>
      <c r="G9" s="25">
        <f>F9*(1-AppliedDiscount)</f>
        <v/>
      </c>
      <c r="H9" s="23" t="n">
        <v>29</v>
      </c>
      <c r="I9" s="22" t="n">
        <v>0</v>
      </c>
      <c r="J9" s="25">
        <f>I9*G9</f>
        <v/>
      </c>
    </row>
    <row r="10">
      <c r="A10" s="23" t="n">
        <v>6</v>
      </c>
      <c r="B10" s="24" t="inlineStr">
        <is>
          <t>SOFT LOUNGE TEE</t>
        </is>
      </c>
      <c r="C10" s="24" t="inlineStr">
        <is>
          <t>Red</t>
        </is>
      </c>
      <c r="D10" s="23" t="inlineStr">
        <is>
          <t>S</t>
        </is>
      </c>
      <c r="E10" s="24" t="inlineStr">
        <is>
          <t>47420699967588</t>
        </is>
      </c>
      <c r="F10" s="25" t="n">
        <v>65</v>
      </c>
      <c r="G10" s="25">
        <f>F10*(1-AppliedDiscount)</f>
        <v/>
      </c>
      <c r="H10" s="23" t="n">
        <v>7</v>
      </c>
      <c r="I10" s="22" t="n">
        <v>0</v>
      </c>
      <c r="J10" s="25">
        <f>I10*G10</f>
        <v/>
      </c>
    </row>
    <row r="11">
      <c r="A11" s="19" t="n">
        <v>7</v>
      </c>
      <c r="B11" s="20" t="inlineStr">
        <is>
          <t>SOFT LOUNGE TEE</t>
        </is>
      </c>
      <c r="C11" s="20" t="inlineStr">
        <is>
          <t>Stone</t>
        </is>
      </c>
      <c r="D11" s="19" t="inlineStr">
        <is>
          <t>XS</t>
        </is>
      </c>
      <c r="E11" s="20" t="inlineStr">
        <is>
          <t>47420656746596</t>
        </is>
      </c>
      <c r="F11" s="21" t="n">
        <v>65</v>
      </c>
      <c r="G11" s="21">
        <f>F11*(1-AppliedDiscount)</f>
        <v/>
      </c>
      <c r="H11" s="19" t="n">
        <v>34</v>
      </c>
      <c r="I11" s="22" t="n">
        <v>0</v>
      </c>
      <c r="J11" s="21">
        <f>I11*G11</f>
        <v/>
      </c>
    </row>
    <row r="12">
      <c r="A12" s="19" t="n">
        <v>7</v>
      </c>
      <c r="B12" s="20" t="inlineStr">
        <is>
          <t>SOFT LOUNGE TEE</t>
        </is>
      </c>
      <c r="C12" s="20" t="inlineStr">
        <is>
          <t>Stone</t>
        </is>
      </c>
      <c r="D12" s="19" t="inlineStr">
        <is>
          <t>S</t>
        </is>
      </c>
      <c r="E12" s="20" t="inlineStr">
        <is>
          <t>47420657369188</t>
        </is>
      </c>
      <c r="F12" s="21" t="n">
        <v>65</v>
      </c>
      <c r="G12" s="21">
        <f>F12*(1-AppliedDiscount)</f>
        <v/>
      </c>
      <c r="H12" s="19" t="n">
        <v>9</v>
      </c>
      <c r="I12" s="22" t="n">
        <v>0</v>
      </c>
      <c r="J12" s="21">
        <f>I12*G12</f>
        <v/>
      </c>
    </row>
    <row r="13">
      <c r="A13" s="23" t="n">
        <v>8</v>
      </c>
      <c r="B13" s="24" t="inlineStr">
        <is>
          <t>SOFT LOUNGE LONG TEE</t>
        </is>
      </c>
      <c r="C13" s="24" t="inlineStr">
        <is>
          <t>White</t>
        </is>
      </c>
      <c r="D13" s="23" t="inlineStr">
        <is>
          <t>XS</t>
        </is>
      </c>
      <c r="E13" s="24" t="inlineStr">
        <is>
          <t>47420623126628</t>
        </is>
      </c>
      <c r="F13" s="25" t="n">
        <v>65</v>
      </c>
      <c r="G13" s="25">
        <f>F13*(1-AppliedDiscount)</f>
        <v/>
      </c>
      <c r="H13" s="23" t="n">
        <v>38</v>
      </c>
      <c r="I13" s="22" t="n">
        <v>0</v>
      </c>
      <c r="J13" s="25">
        <f>I13*G13</f>
        <v/>
      </c>
    </row>
    <row r="14">
      <c r="A14" s="23" t="n">
        <v>8</v>
      </c>
      <c r="B14" s="24" t="inlineStr">
        <is>
          <t>SOFT LOUNGE LONG TEE</t>
        </is>
      </c>
      <c r="C14" s="24" t="inlineStr">
        <is>
          <t>White</t>
        </is>
      </c>
      <c r="D14" s="23" t="inlineStr">
        <is>
          <t>S</t>
        </is>
      </c>
      <c r="E14" s="24" t="inlineStr">
        <is>
          <t>47420623749220</t>
        </is>
      </c>
      <c r="F14" s="25" t="n">
        <v>65</v>
      </c>
      <c r="G14" s="25">
        <f>F14*(1-AppliedDiscount)</f>
        <v/>
      </c>
      <c r="H14" s="23" t="n">
        <v>62</v>
      </c>
      <c r="I14" s="22" t="n">
        <v>0</v>
      </c>
      <c r="J14" s="25">
        <f>I14*G14</f>
        <v/>
      </c>
    </row>
    <row r="15">
      <c r="A15" s="23" t="n">
        <v>8</v>
      </c>
      <c r="B15" s="24" t="inlineStr">
        <is>
          <t>SOFT LOUNGE LONG TEE</t>
        </is>
      </c>
      <c r="C15" s="24" t="inlineStr">
        <is>
          <t>White</t>
        </is>
      </c>
      <c r="D15" s="23" t="inlineStr">
        <is>
          <t>M</t>
        </is>
      </c>
      <c r="E15" s="24" t="inlineStr">
        <is>
          <t>47420624371812</t>
        </is>
      </c>
      <c r="F15" s="25" t="n">
        <v>65</v>
      </c>
      <c r="G15" s="25">
        <f>F15*(1-AppliedDiscount)</f>
        <v/>
      </c>
      <c r="H15" s="23" t="n">
        <v>38</v>
      </c>
      <c r="I15" s="22" t="n">
        <v>0</v>
      </c>
      <c r="J15" s="25">
        <f>I15*G15</f>
        <v/>
      </c>
    </row>
    <row r="16">
      <c r="A16" s="23" t="n">
        <v>8</v>
      </c>
      <c r="B16" s="24" t="inlineStr">
        <is>
          <t>SOFT LOUNGE LONG TEE</t>
        </is>
      </c>
      <c r="C16" s="24" t="inlineStr">
        <is>
          <t>White</t>
        </is>
      </c>
      <c r="D16" s="23" t="inlineStr">
        <is>
          <t>L</t>
        </is>
      </c>
      <c r="E16" s="24" t="inlineStr">
        <is>
          <t>47420624994404</t>
        </is>
      </c>
      <c r="F16" s="25" t="n">
        <v>65</v>
      </c>
      <c r="G16" s="25">
        <f>F16*(1-AppliedDiscount)</f>
        <v/>
      </c>
      <c r="H16" s="23" t="n">
        <v>33</v>
      </c>
      <c r="I16" s="22" t="n">
        <v>0</v>
      </c>
      <c r="J16" s="25">
        <f>I16*G16</f>
        <v/>
      </c>
    </row>
    <row r="17">
      <c r="A17" s="19" t="n">
        <v>9</v>
      </c>
      <c r="B17" s="20" t="inlineStr">
        <is>
          <t>SOFT LOUNGE LONG TEE</t>
        </is>
      </c>
      <c r="C17" s="20" t="inlineStr">
        <is>
          <t>Burgundy</t>
        </is>
      </c>
      <c r="D17" s="19" t="inlineStr">
        <is>
          <t>XS</t>
        </is>
      </c>
      <c r="E17" s="20" t="inlineStr">
        <is>
          <t>47420619423844</t>
        </is>
      </c>
      <c r="F17" s="21" t="n">
        <v>65</v>
      </c>
      <c r="G17" s="21">
        <f>F17*(1-AppliedDiscount)</f>
        <v/>
      </c>
      <c r="H17" s="19" t="n">
        <v>46</v>
      </c>
      <c r="I17" s="22" t="n">
        <v>0</v>
      </c>
      <c r="J17" s="21">
        <f>I17*G17</f>
        <v/>
      </c>
    </row>
    <row r="18">
      <c r="A18" s="19" t="n">
        <v>9</v>
      </c>
      <c r="B18" s="20" t="inlineStr">
        <is>
          <t>SOFT LOUNGE LONG TEE</t>
        </is>
      </c>
      <c r="C18" s="20" t="inlineStr">
        <is>
          <t>Burgundy</t>
        </is>
      </c>
      <c r="D18" s="19" t="inlineStr">
        <is>
          <t>S</t>
        </is>
      </c>
      <c r="E18" s="20" t="inlineStr">
        <is>
          <t>47420620046436</t>
        </is>
      </c>
      <c r="F18" s="21" t="n">
        <v>65</v>
      </c>
      <c r="G18" s="21">
        <f>F18*(1-AppliedDiscount)</f>
        <v/>
      </c>
      <c r="H18" s="19" t="n">
        <v>38</v>
      </c>
      <c r="I18" s="22" t="n">
        <v>0</v>
      </c>
      <c r="J18" s="21">
        <f>I18*G18</f>
        <v/>
      </c>
    </row>
    <row r="19">
      <c r="A19" s="19" t="n">
        <v>9</v>
      </c>
      <c r="B19" s="20" t="inlineStr">
        <is>
          <t>SOFT LOUNGE LONG TEE</t>
        </is>
      </c>
      <c r="C19" s="20" t="inlineStr">
        <is>
          <t>Burgundy</t>
        </is>
      </c>
      <c r="D19" s="19" t="inlineStr">
        <is>
          <t>M</t>
        </is>
      </c>
      <c r="E19" s="20" t="inlineStr">
        <is>
          <t>47420620669028</t>
        </is>
      </c>
      <c r="F19" s="21" t="n">
        <v>65</v>
      </c>
      <c r="G19" s="21">
        <f>F19*(1-AppliedDiscount)</f>
        <v/>
      </c>
      <c r="H19" s="19" t="n">
        <v>29</v>
      </c>
      <c r="I19" s="22" t="n">
        <v>0</v>
      </c>
      <c r="J19" s="21">
        <f>I19*G19</f>
        <v/>
      </c>
    </row>
    <row r="20">
      <c r="A20" s="19" t="n">
        <v>9</v>
      </c>
      <c r="B20" s="20" t="inlineStr">
        <is>
          <t>SOFT LOUNGE LONG TEE</t>
        </is>
      </c>
      <c r="C20" s="20" t="inlineStr">
        <is>
          <t>Burgundy</t>
        </is>
      </c>
      <c r="D20" s="19" t="inlineStr">
        <is>
          <t>L</t>
        </is>
      </c>
      <c r="E20" s="20" t="inlineStr">
        <is>
          <t>47420621291620</t>
        </is>
      </c>
      <c r="F20" s="21" t="n">
        <v>65</v>
      </c>
      <c r="G20" s="21">
        <f>F20*(1-AppliedDiscount)</f>
        <v/>
      </c>
      <c r="H20" s="19" t="n">
        <v>36</v>
      </c>
      <c r="I20" s="22" t="n">
        <v>0</v>
      </c>
      <c r="J20" s="21">
        <f>I20*G20</f>
        <v/>
      </c>
    </row>
    <row r="21">
      <c r="A21" s="23" t="n">
        <v>10</v>
      </c>
      <c r="B21" s="24" t="inlineStr">
        <is>
          <t>SOFT LOUNGE LONG TEE</t>
        </is>
      </c>
      <c r="C21" s="24" t="inlineStr">
        <is>
          <t>Black</t>
        </is>
      </c>
      <c r="D21" s="23" t="inlineStr">
        <is>
          <t>XS</t>
        </is>
      </c>
      <c r="E21" s="24" t="inlineStr">
        <is>
          <t>47420616802404</t>
        </is>
      </c>
      <c r="F21" s="25" t="n">
        <v>65</v>
      </c>
      <c r="G21" s="25">
        <f>F21*(1-AppliedDiscount)</f>
        <v/>
      </c>
      <c r="H21" s="23" t="n">
        <v>29</v>
      </c>
      <c r="I21" s="22" t="n">
        <v>0</v>
      </c>
      <c r="J21" s="25">
        <f>I21*G21</f>
        <v/>
      </c>
    </row>
    <row r="22">
      <c r="A22" s="23" t="n">
        <v>10</v>
      </c>
      <c r="B22" s="24" t="inlineStr">
        <is>
          <t>SOFT LOUNGE LONG TEE</t>
        </is>
      </c>
      <c r="C22" s="24" t="inlineStr">
        <is>
          <t>Black</t>
        </is>
      </c>
      <c r="D22" s="23" t="inlineStr">
        <is>
          <t>S</t>
        </is>
      </c>
      <c r="E22" s="24" t="inlineStr">
        <is>
          <t>47420617424996</t>
        </is>
      </c>
      <c r="F22" s="25" t="n">
        <v>65</v>
      </c>
      <c r="G22" s="25">
        <f>F22*(1-AppliedDiscount)</f>
        <v/>
      </c>
      <c r="H22" s="23" t="n">
        <v>14</v>
      </c>
      <c r="I22" s="22" t="n">
        <v>0</v>
      </c>
      <c r="J22" s="25">
        <f>I22*G22</f>
        <v/>
      </c>
    </row>
    <row r="23">
      <c r="A23" s="23" t="n">
        <v>10</v>
      </c>
      <c r="B23" s="24" t="inlineStr">
        <is>
          <t>SOFT LOUNGE LONG TEE</t>
        </is>
      </c>
      <c r="C23" s="24" t="inlineStr">
        <is>
          <t>Black</t>
        </is>
      </c>
      <c r="D23" s="23" t="inlineStr">
        <is>
          <t>M</t>
        </is>
      </c>
      <c r="E23" s="24" t="inlineStr">
        <is>
          <t>47420618047588</t>
        </is>
      </c>
      <c r="F23" s="25" t="n">
        <v>65</v>
      </c>
      <c r="G23" s="25">
        <f>F23*(1-AppliedDiscount)</f>
        <v/>
      </c>
      <c r="H23" s="23" t="n">
        <v>37</v>
      </c>
      <c r="I23" s="22" t="n">
        <v>0</v>
      </c>
      <c r="J23" s="25">
        <f>I23*G23</f>
        <v/>
      </c>
    </row>
    <row r="24">
      <c r="A24" s="23" t="n">
        <v>10</v>
      </c>
      <c r="B24" s="24" t="inlineStr">
        <is>
          <t>SOFT LOUNGE LONG TEE</t>
        </is>
      </c>
      <c r="C24" s="24" t="inlineStr">
        <is>
          <t>Black</t>
        </is>
      </c>
      <c r="D24" s="23" t="inlineStr">
        <is>
          <t>L</t>
        </is>
      </c>
      <c r="E24" s="24" t="inlineStr">
        <is>
          <t>47420618670180</t>
        </is>
      </c>
      <c r="F24" s="25" t="n">
        <v>65</v>
      </c>
      <c r="G24" s="25">
        <f>F24*(1-AppliedDiscount)</f>
        <v/>
      </c>
      <c r="H24" s="23" t="n">
        <v>36</v>
      </c>
      <c r="I24" s="22" t="n">
        <v>0</v>
      </c>
      <c r="J24" s="25">
        <f>I24*G24</f>
        <v/>
      </c>
    </row>
    <row r="25">
      <c r="A25" s="19" t="n">
        <v>11</v>
      </c>
      <c r="B25" s="20" t="inlineStr">
        <is>
          <t>SOFT LOUNGE LONG TEE</t>
        </is>
      </c>
      <c r="C25" s="20" t="inlineStr">
        <is>
          <t>Butter Yellow</t>
        </is>
      </c>
      <c r="D25" s="19" t="inlineStr">
        <is>
          <t>XS</t>
        </is>
      </c>
      <c r="E25" s="20" t="inlineStr">
        <is>
          <t>47420612280420</t>
        </is>
      </c>
      <c r="F25" s="21" t="n">
        <v>65</v>
      </c>
      <c r="G25" s="21">
        <f>F25*(1-AppliedDiscount)</f>
        <v/>
      </c>
      <c r="H25" s="19" t="n">
        <v>36</v>
      </c>
      <c r="I25" s="22" t="n">
        <v>0</v>
      </c>
      <c r="J25" s="21">
        <f>I25*G25</f>
        <v/>
      </c>
    </row>
    <row r="26">
      <c r="A26" s="19" t="n">
        <v>11</v>
      </c>
      <c r="B26" s="20" t="inlineStr">
        <is>
          <t>SOFT LOUNGE LONG TEE</t>
        </is>
      </c>
      <c r="C26" s="20" t="inlineStr">
        <is>
          <t>Butter Yellow</t>
        </is>
      </c>
      <c r="D26" s="19" t="inlineStr">
        <is>
          <t>S</t>
        </is>
      </c>
      <c r="E26" s="20" t="inlineStr">
        <is>
          <t>47420612903012</t>
        </is>
      </c>
      <c r="F26" s="21" t="n">
        <v>65</v>
      </c>
      <c r="G26" s="21">
        <f>F26*(1-AppliedDiscount)</f>
        <v/>
      </c>
      <c r="H26" s="19" t="n">
        <v>38</v>
      </c>
      <c r="I26" s="22" t="n">
        <v>0</v>
      </c>
      <c r="J26" s="21">
        <f>I26*G26</f>
        <v/>
      </c>
    </row>
    <row r="27">
      <c r="A27" s="19" t="n">
        <v>11</v>
      </c>
      <c r="B27" s="20" t="inlineStr">
        <is>
          <t>SOFT LOUNGE LONG TEE</t>
        </is>
      </c>
      <c r="C27" s="20" t="inlineStr">
        <is>
          <t>Butter Yellow</t>
        </is>
      </c>
      <c r="D27" s="19" t="inlineStr">
        <is>
          <t>M</t>
        </is>
      </c>
      <c r="E27" s="20" t="inlineStr">
        <is>
          <t>47420613525604</t>
        </is>
      </c>
      <c r="F27" s="21" t="n">
        <v>65</v>
      </c>
      <c r="G27" s="21">
        <f>F27*(1-AppliedDiscount)</f>
        <v/>
      </c>
      <c r="H27" s="19" t="n">
        <v>27</v>
      </c>
      <c r="I27" s="22" t="n">
        <v>0</v>
      </c>
      <c r="J27" s="21">
        <f>I27*G27</f>
        <v/>
      </c>
    </row>
    <row r="28">
      <c r="A28" s="19" t="n">
        <v>11</v>
      </c>
      <c r="B28" s="20" t="inlineStr">
        <is>
          <t>SOFT LOUNGE LONG TEE</t>
        </is>
      </c>
      <c r="C28" s="20" t="inlineStr">
        <is>
          <t>Butter Yellow</t>
        </is>
      </c>
      <c r="D28" s="19" t="inlineStr">
        <is>
          <t>L</t>
        </is>
      </c>
      <c r="E28" s="20" t="inlineStr">
        <is>
          <t>47420614148196</t>
        </is>
      </c>
      <c r="F28" s="21" t="n">
        <v>65</v>
      </c>
      <c r="G28" s="21">
        <f>F28*(1-AppliedDiscount)</f>
        <v/>
      </c>
      <c r="H28" s="19" t="n">
        <v>44</v>
      </c>
      <c r="I28" s="22" t="n">
        <v>0</v>
      </c>
      <c r="J28" s="21">
        <f>I28*G28</f>
        <v/>
      </c>
    </row>
    <row r="29">
      <c r="A29" s="23" t="n">
        <v>12</v>
      </c>
      <c r="B29" s="24" t="inlineStr">
        <is>
          <t>SOFT LOUNGE LONG TEE</t>
        </is>
      </c>
      <c r="C29" s="24" t="inlineStr">
        <is>
          <t>Baby Blue</t>
        </is>
      </c>
      <c r="D29" s="23" t="inlineStr">
        <is>
          <t>XS</t>
        </is>
      </c>
      <c r="E29" s="24" t="inlineStr">
        <is>
          <t>47420601499748</t>
        </is>
      </c>
      <c r="F29" s="25" t="n">
        <v>65</v>
      </c>
      <c r="G29" s="25">
        <f>F29*(1-AppliedDiscount)</f>
        <v/>
      </c>
      <c r="H29" s="23" t="n">
        <v>31</v>
      </c>
      <c r="I29" s="22" t="n">
        <v>0</v>
      </c>
      <c r="J29" s="25">
        <f>I29*G29</f>
        <v/>
      </c>
    </row>
    <row r="30">
      <c r="A30" s="23" t="n">
        <v>12</v>
      </c>
      <c r="B30" s="24" t="inlineStr">
        <is>
          <t>SOFT LOUNGE LONG TEE</t>
        </is>
      </c>
      <c r="C30" s="24" t="inlineStr">
        <is>
          <t>Baby Blue</t>
        </is>
      </c>
      <c r="D30" s="23" t="inlineStr">
        <is>
          <t>S</t>
        </is>
      </c>
      <c r="E30" s="24" t="inlineStr">
        <is>
          <t>47420602122340</t>
        </is>
      </c>
      <c r="F30" s="25" t="n">
        <v>65</v>
      </c>
      <c r="G30" s="25">
        <f>F30*(1-AppliedDiscount)</f>
        <v/>
      </c>
      <c r="H30" s="23" t="n">
        <v>4</v>
      </c>
      <c r="I30" s="22" t="n">
        <v>0</v>
      </c>
      <c r="J30" s="25">
        <f>I30*G30</f>
        <v/>
      </c>
    </row>
    <row r="31">
      <c r="A31" s="23" t="n">
        <v>12</v>
      </c>
      <c r="B31" s="24" t="inlineStr">
        <is>
          <t>SOFT LOUNGE LONG TEE</t>
        </is>
      </c>
      <c r="C31" s="24" t="inlineStr">
        <is>
          <t>Baby Blue</t>
        </is>
      </c>
      <c r="D31" s="23" t="inlineStr">
        <is>
          <t>M</t>
        </is>
      </c>
      <c r="E31" s="24" t="inlineStr">
        <is>
          <t>47420602744932</t>
        </is>
      </c>
      <c r="F31" s="25" t="n">
        <v>65</v>
      </c>
      <c r="G31" s="25">
        <f>F31*(1-AppliedDiscount)</f>
        <v/>
      </c>
      <c r="H31" s="23" t="n">
        <v>38</v>
      </c>
      <c r="I31" s="22" t="n">
        <v>0</v>
      </c>
      <c r="J31" s="25">
        <f>I31*G31</f>
        <v/>
      </c>
    </row>
    <row r="32">
      <c r="A32" s="23" t="n">
        <v>12</v>
      </c>
      <c r="B32" s="24" t="inlineStr">
        <is>
          <t>SOFT LOUNGE LONG TEE</t>
        </is>
      </c>
      <c r="C32" s="24" t="inlineStr">
        <is>
          <t>Baby Blue</t>
        </is>
      </c>
      <c r="D32" s="23" t="inlineStr">
        <is>
          <t>L</t>
        </is>
      </c>
      <c r="E32" s="24" t="inlineStr">
        <is>
          <t>47420603367524</t>
        </is>
      </c>
      <c r="F32" s="25" t="n">
        <v>65</v>
      </c>
      <c r="G32" s="25">
        <f>F32*(1-AppliedDiscount)</f>
        <v/>
      </c>
      <c r="H32" s="23" t="n">
        <v>42</v>
      </c>
      <c r="I32" s="22" t="n">
        <v>0</v>
      </c>
      <c r="J32" s="25">
        <f>I32*G32</f>
        <v/>
      </c>
    </row>
    <row r="33">
      <c r="A33" s="19" t="n">
        <v>13</v>
      </c>
      <c r="B33" s="20" t="inlineStr">
        <is>
          <t>SOFT LOUNGE LONG TEE</t>
        </is>
      </c>
      <c r="C33" s="20" t="inlineStr">
        <is>
          <t>Grey Melange</t>
        </is>
      </c>
      <c r="D33" s="19" t="inlineStr">
        <is>
          <t>XS</t>
        </is>
      </c>
      <c r="E33" s="20" t="inlineStr">
        <is>
          <t>47420528918628</t>
        </is>
      </c>
      <c r="F33" s="21" t="n">
        <v>65</v>
      </c>
      <c r="G33" s="21">
        <f>F33*(1-AppliedDiscount)</f>
        <v/>
      </c>
      <c r="H33" s="19" t="n">
        <v>24</v>
      </c>
      <c r="I33" s="22" t="n">
        <v>0</v>
      </c>
      <c r="J33" s="21">
        <f>I33*G33</f>
        <v/>
      </c>
    </row>
    <row r="34">
      <c r="A34" s="19" t="n">
        <v>13</v>
      </c>
      <c r="B34" s="20" t="inlineStr">
        <is>
          <t>SOFT LOUNGE LONG TEE</t>
        </is>
      </c>
      <c r="C34" s="20" t="inlineStr">
        <is>
          <t>Grey Melange</t>
        </is>
      </c>
      <c r="D34" s="19" t="inlineStr">
        <is>
          <t>S</t>
        </is>
      </c>
      <c r="E34" s="20" t="inlineStr">
        <is>
          <t>47420529541220</t>
        </is>
      </c>
      <c r="F34" s="21" t="n">
        <v>65</v>
      </c>
      <c r="G34" s="21">
        <f>F34*(1-AppliedDiscount)</f>
        <v/>
      </c>
      <c r="H34" s="19" t="n">
        <v>14</v>
      </c>
      <c r="I34" s="22" t="n">
        <v>0</v>
      </c>
      <c r="J34" s="21">
        <f>I34*G34</f>
        <v/>
      </c>
    </row>
    <row r="35">
      <c r="A35" s="19" t="n">
        <v>13</v>
      </c>
      <c r="B35" s="20" t="inlineStr">
        <is>
          <t>SOFT LOUNGE LONG TEE</t>
        </is>
      </c>
      <c r="C35" s="20" t="inlineStr">
        <is>
          <t>Grey Melange</t>
        </is>
      </c>
      <c r="D35" s="19" t="inlineStr">
        <is>
          <t>M</t>
        </is>
      </c>
      <c r="E35" s="20" t="inlineStr">
        <is>
          <t>47420530163812</t>
        </is>
      </c>
      <c r="F35" s="21" t="n">
        <v>65</v>
      </c>
      <c r="G35" s="21">
        <f>F35*(1-AppliedDiscount)</f>
        <v/>
      </c>
      <c r="H35" s="19" t="n">
        <v>0</v>
      </c>
      <c r="I35" s="22" t="n">
        <v>0</v>
      </c>
      <c r="J35" s="21">
        <f>I35*G35</f>
        <v/>
      </c>
    </row>
    <row r="36">
      <c r="A36" s="19" t="n">
        <v>13</v>
      </c>
      <c r="B36" s="20" t="inlineStr">
        <is>
          <t>SOFT LOUNGE LONG TEE</t>
        </is>
      </c>
      <c r="C36" s="20" t="inlineStr">
        <is>
          <t>Grey Melange</t>
        </is>
      </c>
      <c r="D36" s="19" t="inlineStr">
        <is>
          <t>L</t>
        </is>
      </c>
      <c r="E36" s="20" t="inlineStr">
        <is>
          <t>47420530786404</t>
        </is>
      </c>
      <c r="F36" s="21" t="n">
        <v>65</v>
      </c>
      <c r="G36" s="21">
        <f>F36*(1-AppliedDiscount)</f>
        <v/>
      </c>
      <c r="H36" s="19" t="n">
        <v>12</v>
      </c>
      <c r="I36" s="22" t="n">
        <v>0</v>
      </c>
      <c r="J36" s="21">
        <f>I36*G36</f>
        <v/>
      </c>
    </row>
    <row r="37">
      <c r="A37" s="23" t="n">
        <v>14</v>
      </c>
      <c r="B37" s="24" t="inlineStr">
        <is>
          <t>SOFT LOUNGE LONG TEE</t>
        </is>
      </c>
      <c r="C37" s="24" t="inlineStr">
        <is>
          <t>Bitter Coffee</t>
        </is>
      </c>
      <c r="D37" s="23" t="inlineStr">
        <is>
          <t>XS</t>
        </is>
      </c>
      <c r="E37" s="24" t="inlineStr">
        <is>
          <t>47420521414756</t>
        </is>
      </c>
      <c r="F37" s="25" t="n">
        <v>65</v>
      </c>
      <c r="G37" s="25">
        <f>F37*(1-AppliedDiscount)</f>
        <v/>
      </c>
      <c r="H37" s="23" t="n">
        <v>30</v>
      </c>
      <c r="I37" s="22" t="n">
        <v>0</v>
      </c>
      <c r="J37" s="25">
        <f>I37*G37</f>
        <v/>
      </c>
    </row>
    <row r="38">
      <c r="A38" s="23" t="n">
        <v>14</v>
      </c>
      <c r="B38" s="24" t="inlineStr">
        <is>
          <t>SOFT LOUNGE LONG TEE</t>
        </is>
      </c>
      <c r="C38" s="24" t="inlineStr">
        <is>
          <t>Bitter Coffee</t>
        </is>
      </c>
      <c r="D38" s="23" t="inlineStr">
        <is>
          <t>S</t>
        </is>
      </c>
      <c r="E38" s="24" t="inlineStr">
        <is>
          <t>47420522037348</t>
        </is>
      </c>
      <c r="F38" s="25" t="n">
        <v>65</v>
      </c>
      <c r="G38" s="25">
        <f>F38*(1-AppliedDiscount)</f>
        <v/>
      </c>
      <c r="H38" s="23" t="n">
        <v>16</v>
      </c>
      <c r="I38" s="22" t="n">
        <v>0</v>
      </c>
      <c r="J38" s="25">
        <f>I38*G38</f>
        <v/>
      </c>
    </row>
    <row r="39">
      <c r="A39" s="23" t="n">
        <v>14</v>
      </c>
      <c r="B39" s="24" t="inlineStr">
        <is>
          <t>SOFT LOUNGE LONG TEE</t>
        </is>
      </c>
      <c r="C39" s="24" t="inlineStr">
        <is>
          <t>Bitter Coffee</t>
        </is>
      </c>
      <c r="D39" s="23" t="inlineStr">
        <is>
          <t>M</t>
        </is>
      </c>
      <c r="E39" s="24" t="inlineStr">
        <is>
          <t>47420522659940</t>
        </is>
      </c>
      <c r="F39" s="25" t="n">
        <v>65</v>
      </c>
      <c r="G39" s="25">
        <f>F39*(1-AppliedDiscount)</f>
        <v/>
      </c>
      <c r="H39" s="23" t="n">
        <v>14</v>
      </c>
      <c r="I39" s="22" t="n">
        <v>0</v>
      </c>
      <c r="J39" s="25">
        <f>I39*G39</f>
        <v/>
      </c>
    </row>
    <row r="40">
      <c r="A40" s="23" t="n">
        <v>14</v>
      </c>
      <c r="B40" s="24" t="inlineStr">
        <is>
          <t>SOFT LOUNGE LONG TEE</t>
        </is>
      </c>
      <c r="C40" s="24" t="inlineStr">
        <is>
          <t>Bitter Coffee</t>
        </is>
      </c>
      <c r="D40" s="23" t="inlineStr">
        <is>
          <t>L</t>
        </is>
      </c>
      <c r="E40" s="24" t="inlineStr">
        <is>
          <t>47420523282532</t>
        </is>
      </c>
      <c r="F40" s="25" t="n">
        <v>65</v>
      </c>
      <c r="G40" s="25">
        <f>F40*(1-AppliedDiscount)</f>
        <v/>
      </c>
      <c r="H40" s="23" t="n">
        <v>27</v>
      </c>
      <c r="I40" s="22" t="n">
        <v>0</v>
      </c>
      <c r="J40" s="25">
        <f>I40*G40</f>
        <v/>
      </c>
    </row>
    <row r="41">
      <c r="A41" s="19" t="n">
        <v>15</v>
      </c>
      <c r="B41" s="20" t="inlineStr">
        <is>
          <t>SOFT LOUNGE LONG TEE</t>
        </is>
      </c>
      <c r="C41" s="20" t="inlineStr">
        <is>
          <t>Red</t>
        </is>
      </c>
      <c r="D41" s="19" t="inlineStr">
        <is>
          <t>XS</t>
        </is>
      </c>
      <c r="E41" s="20" t="inlineStr">
        <is>
          <t>47420510568548</t>
        </is>
      </c>
      <c r="F41" s="21" t="n">
        <v>65</v>
      </c>
      <c r="G41" s="21">
        <f>F41*(1-AppliedDiscount)</f>
        <v/>
      </c>
      <c r="H41" s="19" t="n">
        <v>55</v>
      </c>
      <c r="I41" s="22" t="n">
        <v>0</v>
      </c>
      <c r="J41" s="21">
        <f>I41*G41</f>
        <v/>
      </c>
    </row>
    <row r="42">
      <c r="A42" s="19" t="n">
        <v>15</v>
      </c>
      <c r="B42" s="20" t="inlineStr">
        <is>
          <t>SOFT LOUNGE LONG TEE</t>
        </is>
      </c>
      <c r="C42" s="20" t="inlineStr">
        <is>
          <t>Red</t>
        </is>
      </c>
      <c r="D42" s="19" t="inlineStr">
        <is>
          <t>S</t>
        </is>
      </c>
      <c r="E42" s="20" t="inlineStr">
        <is>
          <t>47420511191140</t>
        </is>
      </c>
      <c r="F42" s="21" t="n">
        <v>65</v>
      </c>
      <c r="G42" s="21">
        <f>F42*(1-AppliedDiscount)</f>
        <v/>
      </c>
      <c r="H42" s="19" t="n">
        <v>36</v>
      </c>
      <c r="I42" s="22" t="n">
        <v>0</v>
      </c>
      <c r="J42" s="21">
        <f>I42*G42</f>
        <v/>
      </c>
    </row>
    <row r="43">
      <c r="A43" s="19" t="n">
        <v>15</v>
      </c>
      <c r="B43" s="20" t="inlineStr">
        <is>
          <t>SOFT LOUNGE LONG TEE</t>
        </is>
      </c>
      <c r="C43" s="20" t="inlineStr">
        <is>
          <t>Red</t>
        </is>
      </c>
      <c r="D43" s="19" t="inlineStr">
        <is>
          <t>M</t>
        </is>
      </c>
      <c r="E43" s="20" t="inlineStr">
        <is>
          <t>47420511813732</t>
        </is>
      </c>
      <c r="F43" s="21" t="n">
        <v>65</v>
      </c>
      <c r="G43" s="21">
        <f>F43*(1-AppliedDiscount)</f>
        <v/>
      </c>
      <c r="H43" s="19" t="n">
        <v>38</v>
      </c>
      <c r="I43" s="22" t="n">
        <v>0</v>
      </c>
      <c r="J43" s="21">
        <f>I43*G43</f>
        <v/>
      </c>
    </row>
    <row r="44">
      <c r="A44" s="19" t="n">
        <v>15</v>
      </c>
      <c r="B44" s="20" t="inlineStr">
        <is>
          <t>SOFT LOUNGE LONG TEE</t>
        </is>
      </c>
      <c r="C44" s="20" t="inlineStr">
        <is>
          <t>Red</t>
        </is>
      </c>
      <c r="D44" s="19" t="inlineStr">
        <is>
          <t>L</t>
        </is>
      </c>
      <c r="E44" s="20" t="inlineStr">
        <is>
          <t>47420512436324</t>
        </is>
      </c>
      <c r="F44" s="21" t="n">
        <v>65</v>
      </c>
      <c r="G44" s="21">
        <f>F44*(1-AppliedDiscount)</f>
        <v/>
      </c>
      <c r="H44" s="19" t="n">
        <v>47</v>
      </c>
      <c r="I44" s="22" t="n">
        <v>0</v>
      </c>
      <c r="J44" s="21">
        <f>I44*G44</f>
        <v/>
      </c>
    </row>
    <row r="45">
      <c r="A45" s="23" t="n">
        <v>16</v>
      </c>
      <c r="B45" s="24" t="inlineStr">
        <is>
          <t>SOFT LOUNGE LONG TEE</t>
        </is>
      </c>
      <c r="C45" s="24" t="inlineStr">
        <is>
          <t>Mink</t>
        </is>
      </c>
      <c r="D45" s="23" t="inlineStr">
        <is>
          <t>XS</t>
        </is>
      </c>
      <c r="E45" s="24" t="inlineStr">
        <is>
          <t>47420490252388</t>
        </is>
      </c>
      <c r="F45" s="25" t="n">
        <v>65</v>
      </c>
      <c r="G45" s="25">
        <f>F45*(1-AppliedDiscount)</f>
        <v/>
      </c>
      <c r="H45" s="23" t="n">
        <v>32</v>
      </c>
      <c r="I45" s="22" t="n">
        <v>0</v>
      </c>
      <c r="J45" s="25">
        <f>I45*G45</f>
        <v/>
      </c>
    </row>
    <row r="46">
      <c r="A46" s="23" t="n">
        <v>16</v>
      </c>
      <c r="B46" s="24" t="inlineStr">
        <is>
          <t>SOFT LOUNGE LONG TEE</t>
        </is>
      </c>
      <c r="C46" s="24" t="inlineStr">
        <is>
          <t>Mink</t>
        </is>
      </c>
      <c r="D46" s="23" t="inlineStr">
        <is>
          <t>S</t>
        </is>
      </c>
      <c r="E46" s="24" t="inlineStr">
        <is>
          <t>47420490874980</t>
        </is>
      </c>
      <c r="F46" s="25" t="n">
        <v>65</v>
      </c>
      <c r="G46" s="25">
        <f>F46*(1-AppliedDiscount)</f>
        <v/>
      </c>
      <c r="H46" s="23" t="n">
        <v>36</v>
      </c>
      <c r="I46" s="22" t="n">
        <v>0</v>
      </c>
      <c r="J46" s="25">
        <f>I46*G46</f>
        <v/>
      </c>
    </row>
    <row r="47">
      <c r="A47" s="23" t="n">
        <v>16</v>
      </c>
      <c r="B47" s="24" t="inlineStr">
        <is>
          <t>SOFT LOUNGE LONG TEE</t>
        </is>
      </c>
      <c r="C47" s="24" t="inlineStr">
        <is>
          <t>Mink</t>
        </is>
      </c>
      <c r="D47" s="23" t="inlineStr">
        <is>
          <t>M</t>
        </is>
      </c>
      <c r="E47" s="24" t="inlineStr">
        <is>
          <t>47420491497572</t>
        </is>
      </c>
      <c r="F47" s="25" t="n">
        <v>65</v>
      </c>
      <c r="G47" s="25">
        <f>F47*(1-AppliedDiscount)</f>
        <v/>
      </c>
      <c r="H47" s="23" t="n">
        <v>35</v>
      </c>
      <c r="I47" s="22" t="n">
        <v>0</v>
      </c>
      <c r="J47" s="25">
        <f>I47*G47</f>
        <v/>
      </c>
    </row>
    <row r="48">
      <c r="A48" s="23" t="n">
        <v>16</v>
      </c>
      <c r="B48" s="24" t="inlineStr">
        <is>
          <t>SOFT LOUNGE LONG TEE</t>
        </is>
      </c>
      <c r="C48" s="24" t="inlineStr">
        <is>
          <t>Mink</t>
        </is>
      </c>
      <c r="D48" s="23" t="inlineStr">
        <is>
          <t>L</t>
        </is>
      </c>
      <c r="E48" s="24" t="inlineStr">
        <is>
          <t>47420492120164</t>
        </is>
      </c>
      <c r="F48" s="25" t="n">
        <v>65</v>
      </c>
      <c r="G48" s="25">
        <f>F48*(1-AppliedDiscount)</f>
        <v/>
      </c>
      <c r="H48" s="23" t="n">
        <v>40</v>
      </c>
      <c r="I48" s="22" t="n">
        <v>0</v>
      </c>
      <c r="J48" s="25">
        <f>I48*G48</f>
        <v/>
      </c>
    </row>
    <row r="49">
      <c r="A49" s="19" t="n">
        <v>17</v>
      </c>
      <c r="B49" s="20" t="inlineStr">
        <is>
          <t>SOFT LOUNGE LONG TEE</t>
        </is>
      </c>
      <c r="C49" s="20" t="inlineStr">
        <is>
          <t>Stone</t>
        </is>
      </c>
      <c r="D49" s="19" t="inlineStr">
        <is>
          <t>XS</t>
        </is>
      </c>
      <c r="E49" s="20" t="inlineStr">
        <is>
          <t>47420484976740</t>
        </is>
      </c>
      <c r="F49" s="21" t="n">
        <v>65</v>
      </c>
      <c r="G49" s="21">
        <f>F49*(1-AppliedDiscount)</f>
        <v/>
      </c>
      <c r="H49" s="19" t="n">
        <v>50</v>
      </c>
      <c r="I49" s="22" t="n">
        <v>0</v>
      </c>
      <c r="J49" s="21">
        <f>I49*G49</f>
        <v/>
      </c>
    </row>
    <row r="50">
      <c r="A50" s="19" t="n">
        <v>17</v>
      </c>
      <c r="B50" s="20" t="inlineStr">
        <is>
          <t>SOFT LOUNGE LONG TEE</t>
        </is>
      </c>
      <c r="C50" s="20" t="inlineStr">
        <is>
          <t>Stone</t>
        </is>
      </c>
      <c r="D50" s="19" t="inlineStr">
        <is>
          <t>S</t>
        </is>
      </c>
      <c r="E50" s="20" t="inlineStr">
        <is>
          <t>47420485599332</t>
        </is>
      </c>
      <c r="F50" s="21" t="n">
        <v>65</v>
      </c>
      <c r="G50" s="21">
        <f>F50*(1-AppliedDiscount)</f>
        <v/>
      </c>
      <c r="H50" s="19" t="n">
        <v>54</v>
      </c>
      <c r="I50" s="22" t="n">
        <v>0</v>
      </c>
      <c r="J50" s="21">
        <f>I50*G50</f>
        <v/>
      </c>
    </row>
    <row r="51">
      <c r="A51" s="19" t="n">
        <v>17</v>
      </c>
      <c r="B51" s="20" t="inlineStr">
        <is>
          <t>SOFT LOUNGE LONG TEE</t>
        </is>
      </c>
      <c r="C51" s="20" t="inlineStr">
        <is>
          <t>Stone</t>
        </is>
      </c>
      <c r="D51" s="19" t="inlineStr">
        <is>
          <t>M</t>
        </is>
      </c>
      <c r="E51" s="20" t="inlineStr">
        <is>
          <t>47420486221924</t>
        </is>
      </c>
      <c r="F51" s="21" t="n">
        <v>65</v>
      </c>
      <c r="G51" s="21">
        <f>F51*(1-AppliedDiscount)</f>
        <v/>
      </c>
      <c r="H51" s="19" t="n">
        <v>26</v>
      </c>
      <c r="I51" s="22" t="n">
        <v>0</v>
      </c>
      <c r="J51" s="21">
        <f>I51*G51</f>
        <v/>
      </c>
    </row>
    <row r="52">
      <c r="A52" s="19" t="n">
        <v>17</v>
      </c>
      <c r="B52" s="20" t="inlineStr">
        <is>
          <t>SOFT LOUNGE LONG TEE</t>
        </is>
      </c>
      <c r="C52" s="20" t="inlineStr">
        <is>
          <t>Stone</t>
        </is>
      </c>
      <c r="D52" s="19" t="inlineStr">
        <is>
          <t>L</t>
        </is>
      </c>
      <c r="E52" s="20" t="inlineStr">
        <is>
          <t>47420486844516</t>
        </is>
      </c>
      <c r="F52" s="21" t="n">
        <v>65</v>
      </c>
      <c r="G52" s="21">
        <f>F52*(1-AppliedDiscount)</f>
        <v/>
      </c>
      <c r="H52" s="19" t="n">
        <v>31</v>
      </c>
      <c r="I52" s="22" t="n">
        <v>0</v>
      </c>
      <c r="J52" s="21">
        <f>I52*G52</f>
        <v/>
      </c>
    </row>
    <row r="53">
      <c r="A53" s="23" t="n">
        <v>18</v>
      </c>
      <c r="B53" s="24" t="inlineStr">
        <is>
          <t>SOFT LOUNGE KIMONO</t>
        </is>
      </c>
      <c r="C53" s="24" t="inlineStr">
        <is>
          <t>Burgundy</t>
        </is>
      </c>
      <c r="D53" s="23" t="inlineStr">
        <is>
          <t>STANDART</t>
        </is>
      </c>
      <c r="E53" s="24" t="inlineStr">
        <is>
          <t>47420469313636</t>
        </is>
      </c>
      <c r="F53" s="25" t="n">
        <v>95</v>
      </c>
      <c r="G53" s="25">
        <f>F53*(1-AppliedDiscount)</f>
        <v/>
      </c>
      <c r="H53" s="23" t="n">
        <v>41</v>
      </c>
      <c r="I53" s="22" t="n">
        <v>0</v>
      </c>
      <c r="J53" s="25">
        <f>I53*G53</f>
        <v/>
      </c>
    </row>
    <row r="54">
      <c r="A54" s="19" t="n">
        <v>19</v>
      </c>
      <c r="B54" s="20" t="inlineStr">
        <is>
          <t>SOFT LOUNGE KIMONO</t>
        </is>
      </c>
      <c r="C54" s="20" t="inlineStr">
        <is>
          <t>Grey Melange</t>
        </is>
      </c>
      <c r="D54" s="19" t="inlineStr">
        <is>
          <t>STANDART</t>
        </is>
      </c>
      <c r="E54" s="20" t="inlineStr">
        <is>
          <t>47420466856036</t>
        </is>
      </c>
      <c r="F54" s="21" t="n">
        <v>95</v>
      </c>
      <c r="G54" s="21">
        <f>F54*(1-AppliedDiscount)</f>
        <v/>
      </c>
      <c r="H54" s="19" t="n">
        <v>0</v>
      </c>
      <c r="I54" s="22" t="n">
        <v>0</v>
      </c>
      <c r="J54" s="21">
        <f>I54*G54</f>
        <v/>
      </c>
    </row>
    <row r="55">
      <c r="A55" s="23" t="n">
        <v>20</v>
      </c>
      <c r="B55" s="24" t="inlineStr">
        <is>
          <t>SOFT LOUNGE KIMONO</t>
        </is>
      </c>
      <c r="C55" s="24" t="inlineStr">
        <is>
          <t>red</t>
        </is>
      </c>
      <c r="D55" s="23" t="inlineStr">
        <is>
          <t>STANDART</t>
        </is>
      </c>
      <c r="E55" s="24" t="inlineStr">
        <is>
          <t>47420465872996</t>
        </is>
      </c>
      <c r="F55" s="25" t="n">
        <v>95</v>
      </c>
      <c r="G55" s="25">
        <f>F55*(1-AppliedDiscount)</f>
        <v/>
      </c>
      <c r="H55" s="23" t="n">
        <v>46</v>
      </c>
      <c r="I55" s="22" t="n">
        <v>0</v>
      </c>
      <c r="J55" s="25">
        <f>I55*G55</f>
        <v/>
      </c>
    </row>
    <row r="56">
      <c r="A56" s="19" t="n">
        <v>21</v>
      </c>
      <c r="B56" s="20" t="inlineStr">
        <is>
          <t>SOFT LOUNGE KIMONO</t>
        </is>
      </c>
      <c r="C56" s="20" t="inlineStr">
        <is>
          <t>Black</t>
        </is>
      </c>
      <c r="D56" s="19" t="inlineStr">
        <is>
          <t>STANDART</t>
        </is>
      </c>
      <c r="E56" s="20" t="inlineStr">
        <is>
          <t>47420465381476</t>
        </is>
      </c>
      <c r="F56" s="21" t="n">
        <v>95</v>
      </c>
      <c r="G56" s="21">
        <f>F56*(1-AppliedDiscount)</f>
        <v/>
      </c>
      <c r="H56" s="19" t="n">
        <v>49</v>
      </c>
      <c r="I56" s="22" t="n">
        <v>0</v>
      </c>
      <c r="J56" s="21">
        <f>I56*G56</f>
        <v/>
      </c>
    </row>
    <row r="57">
      <c r="A57" s="23" t="n">
        <v>22</v>
      </c>
      <c r="B57" s="24" t="inlineStr">
        <is>
          <t>SOFT LOUNGE KIMONO</t>
        </is>
      </c>
      <c r="C57" s="24" t="inlineStr">
        <is>
          <t>Butter Yellow</t>
        </is>
      </c>
      <c r="D57" s="23" t="inlineStr">
        <is>
          <t>STANDART</t>
        </is>
      </c>
      <c r="E57" s="24" t="inlineStr">
        <is>
          <t>47420453617764</t>
        </is>
      </c>
      <c r="F57" s="25" t="n">
        <v>95</v>
      </c>
      <c r="G57" s="25">
        <f>F57*(1-AppliedDiscount)</f>
        <v/>
      </c>
      <c r="H57" s="23" t="n">
        <v>37</v>
      </c>
      <c r="I57" s="22" t="n">
        <v>0</v>
      </c>
      <c r="J57" s="25">
        <f>I57*G57</f>
        <v/>
      </c>
    </row>
    <row r="58">
      <c r="A58" s="19" t="n">
        <v>23</v>
      </c>
      <c r="B58" s="20" t="inlineStr">
        <is>
          <t>SOFT LOUNGE KIMONO</t>
        </is>
      </c>
      <c r="C58" s="20" t="inlineStr">
        <is>
          <t>Baby Blue</t>
        </is>
      </c>
      <c r="D58" s="19" t="inlineStr">
        <is>
          <t>STANDART</t>
        </is>
      </c>
      <c r="E58" s="20" t="inlineStr">
        <is>
          <t>47420451848292</t>
        </is>
      </c>
      <c r="F58" s="21" t="n">
        <v>95</v>
      </c>
      <c r="G58" s="21">
        <f>F58*(1-AppliedDiscount)</f>
        <v/>
      </c>
      <c r="H58" s="19" t="n">
        <v>23</v>
      </c>
      <c r="I58" s="22" t="n">
        <v>0</v>
      </c>
      <c r="J58" s="21">
        <f>I58*G58</f>
        <v/>
      </c>
    </row>
    <row r="59">
      <c r="A59" s="23" t="n">
        <v>24</v>
      </c>
      <c r="B59" s="24" t="inlineStr">
        <is>
          <t>SOFT LOUNGE KIMONO</t>
        </is>
      </c>
      <c r="C59" s="24" t="inlineStr">
        <is>
          <t>White</t>
        </is>
      </c>
      <c r="D59" s="23" t="inlineStr">
        <is>
          <t>STANDART</t>
        </is>
      </c>
      <c r="E59" s="24" t="inlineStr">
        <is>
          <t>47420445917284</t>
        </is>
      </c>
      <c r="F59" s="25" t="n">
        <v>95</v>
      </c>
      <c r="G59" s="25">
        <f>F59*(1-AppliedDiscount)</f>
        <v/>
      </c>
      <c r="H59" s="23" t="n">
        <v>54</v>
      </c>
      <c r="I59" s="22" t="n">
        <v>0</v>
      </c>
      <c r="J59" s="25">
        <f>I59*G59</f>
        <v/>
      </c>
    </row>
    <row r="60">
      <c r="A60" s="19" t="n">
        <v>25</v>
      </c>
      <c r="B60" s="20" t="inlineStr">
        <is>
          <t>SOFT LOUNGE KIMONO</t>
        </is>
      </c>
      <c r="C60" s="20" t="inlineStr">
        <is>
          <t>Mink</t>
        </is>
      </c>
      <c r="D60" s="19" t="inlineStr">
        <is>
          <t>STANDART</t>
        </is>
      </c>
      <c r="E60" s="20" t="inlineStr">
        <is>
          <t>47420445196388</t>
        </is>
      </c>
      <c r="F60" s="21" t="n">
        <v>95</v>
      </c>
      <c r="G60" s="21">
        <f>F60*(1-AppliedDiscount)</f>
        <v/>
      </c>
      <c r="H60" s="19" t="n">
        <v>56</v>
      </c>
      <c r="I60" s="22" t="n">
        <v>0</v>
      </c>
      <c r="J60" s="21">
        <f>I60*G60</f>
        <v/>
      </c>
    </row>
    <row r="61">
      <c r="A61" s="23" t="n">
        <v>26</v>
      </c>
      <c r="B61" s="24" t="inlineStr">
        <is>
          <t>SOFT LOUNGE KIMONO</t>
        </is>
      </c>
      <c r="C61" s="24" t="inlineStr">
        <is>
          <t>Stone</t>
        </is>
      </c>
      <c r="D61" s="23" t="inlineStr">
        <is>
          <t>STANDART</t>
        </is>
      </c>
      <c r="E61" s="24" t="inlineStr">
        <is>
          <t>47420443983972</t>
        </is>
      </c>
      <c r="F61" s="25" t="n">
        <v>95</v>
      </c>
      <c r="G61" s="25">
        <f>F61*(1-AppliedDiscount)</f>
        <v/>
      </c>
      <c r="H61" s="23" t="n">
        <v>114</v>
      </c>
      <c r="I61" s="22" t="n">
        <v>0</v>
      </c>
      <c r="J61" s="25">
        <f>I61*G61</f>
        <v/>
      </c>
    </row>
    <row r="62">
      <c r="A62" s="19" t="n">
        <v>27</v>
      </c>
      <c r="B62" s="20" t="inlineStr">
        <is>
          <t>SOFT LOUNGE PANT</t>
        </is>
      </c>
      <c r="C62" s="20" t="inlineStr">
        <is>
          <t>White</t>
        </is>
      </c>
      <c r="D62" s="19" t="inlineStr">
        <is>
          <t>XS-S</t>
        </is>
      </c>
      <c r="E62" s="20" t="inlineStr">
        <is>
          <t>SK34539947</t>
        </is>
      </c>
      <c r="F62" s="21" t="n">
        <v>75</v>
      </c>
      <c r="G62" s="21">
        <f>F62*(1-AppliedDiscount)</f>
        <v/>
      </c>
      <c r="H62" s="19" t="n">
        <v>61</v>
      </c>
      <c r="I62" s="22" t="n">
        <v>0</v>
      </c>
      <c r="J62" s="21">
        <f>I62*G62</f>
        <v/>
      </c>
    </row>
    <row r="63">
      <c r="A63" s="19" t="n">
        <v>27</v>
      </c>
      <c r="B63" s="20" t="inlineStr">
        <is>
          <t>SOFT LOUNGE PANT</t>
        </is>
      </c>
      <c r="C63" s="20" t="inlineStr">
        <is>
          <t>White</t>
        </is>
      </c>
      <c r="D63" s="19" t="inlineStr">
        <is>
          <t>M-L</t>
        </is>
      </c>
      <c r="E63" s="20" t="inlineStr">
        <is>
          <t>SK52781633</t>
        </is>
      </c>
      <c r="F63" s="21" t="n">
        <v>75</v>
      </c>
      <c r="G63" s="21">
        <f>F63*(1-AppliedDiscount)</f>
        <v/>
      </c>
      <c r="H63" s="19" t="n">
        <v>108</v>
      </c>
      <c r="I63" s="22" t="n">
        <v>0</v>
      </c>
      <c r="J63" s="21">
        <f>I63*G63</f>
        <v/>
      </c>
    </row>
    <row r="64">
      <c r="A64" s="23" t="n">
        <v>28</v>
      </c>
      <c r="B64" s="24" t="inlineStr">
        <is>
          <t>SOFT LOUNGE PANT</t>
        </is>
      </c>
      <c r="C64" s="24" t="inlineStr">
        <is>
          <t>Grey Melange</t>
        </is>
      </c>
      <c r="D64" s="23" t="inlineStr">
        <is>
          <t>XS-S</t>
        </is>
      </c>
      <c r="E64" s="24" t="inlineStr">
        <is>
          <t>47304168472676</t>
        </is>
      </c>
      <c r="F64" s="25" t="n">
        <v>75</v>
      </c>
      <c r="G64" s="25">
        <f>F64*(1-AppliedDiscount)</f>
        <v/>
      </c>
      <c r="H64" s="23" t="n">
        <v>26</v>
      </c>
      <c r="I64" s="22" t="n">
        <v>0</v>
      </c>
      <c r="J64" s="25">
        <f>I64*G64</f>
        <v/>
      </c>
    </row>
    <row r="65">
      <c r="A65" s="23" t="n">
        <v>28</v>
      </c>
      <c r="B65" s="24" t="inlineStr">
        <is>
          <t>SOFT LOUNGE PANT</t>
        </is>
      </c>
      <c r="C65" s="24" t="inlineStr">
        <is>
          <t>Grey Melange</t>
        </is>
      </c>
      <c r="D65" s="23" t="inlineStr">
        <is>
          <t>M-L</t>
        </is>
      </c>
      <c r="E65" s="24" t="inlineStr">
        <is>
          <t>47304169029732</t>
        </is>
      </c>
      <c r="F65" s="25" t="n">
        <v>75</v>
      </c>
      <c r="G65" s="25">
        <f>F65*(1-AppliedDiscount)</f>
        <v/>
      </c>
      <c r="H65" s="23" t="n">
        <v>29</v>
      </c>
      <c r="I65" s="22" t="n">
        <v>0</v>
      </c>
      <c r="J65" s="25">
        <f>I65*G65</f>
        <v/>
      </c>
    </row>
    <row r="66">
      <c r="A66" s="19" t="n">
        <v>29</v>
      </c>
      <c r="B66" s="20" t="inlineStr">
        <is>
          <t>SOFT LOUNGE PANT</t>
        </is>
      </c>
      <c r="C66" s="20" t="inlineStr">
        <is>
          <t>Black</t>
        </is>
      </c>
      <c r="D66" s="19" t="inlineStr">
        <is>
          <t>XS-S</t>
        </is>
      </c>
      <c r="E66" s="20" t="inlineStr">
        <is>
          <t>47304160411748</t>
        </is>
      </c>
      <c r="F66" s="21" t="n">
        <v>75</v>
      </c>
      <c r="G66" s="21">
        <f>F66*(1-AppliedDiscount)</f>
        <v/>
      </c>
      <c r="H66" s="19" t="n">
        <v>36</v>
      </c>
      <c r="I66" s="22" t="n">
        <v>0</v>
      </c>
      <c r="J66" s="21">
        <f>I66*G66</f>
        <v/>
      </c>
    </row>
    <row r="67">
      <c r="A67" s="19" t="n">
        <v>29</v>
      </c>
      <c r="B67" s="20" t="inlineStr">
        <is>
          <t>SOFT LOUNGE PANT</t>
        </is>
      </c>
      <c r="C67" s="20" t="inlineStr">
        <is>
          <t>Black</t>
        </is>
      </c>
      <c r="D67" s="19" t="inlineStr">
        <is>
          <t>M-L</t>
        </is>
      </c>
      <c r="E67" s="20" t="inlineStr">
        <is>
          <t>47304160968804</t>
        </is>
      </c>
      <c r="F67" s="21" t="n">
        <v>75</v>
      </c>
      <c r="G67" s="21">
        <f>F67*(1-AppliedDiscount)</f>
        <v/>
      </c>
      <c r="H67" s="19" t="n">
        <v>42</v>
      </c>
      <c r="I67" s="22" t="n">
        <v>0</v>
      </c>
      <c r="J67" s="21">
        <f>I67*G67</f>
        <v/>
      </c>
    </row>
    <row r="68">
      <c r="A68" s="23" t="n">
        <v>30</v>
      </c>
      <c r="B68" s="24" t="inlineStr">
        <is>
          <t>SOFT LOUNGE PANT</t>
        </is>
      </c>
      <c r="C68" s="24" t="inlineStr">
        <is>
          <t>Baby Blue</t>
        </is>
      </c>
      <c r="D68" s="23" t="inlineStr">
        <is>
          <t>XS-S</t>
        </is>
      </c>
      <c r="E68" s="24" t="inlineStr">
        <is>
          <t>47304154251364</t>
        </is>
      </c>
      <c r="F68" s="25" t="n">
        <v>75</v>
      </c>
      <c r="G68" s="25">
        <f>F68*(1-AppliedDiscount)</f>
        <v/>
      </c>
      <c r="H68" s="23" t="n">
        <v>42</v>
      </c>
      <c r="I68" s="22" t="n">
        <v>0</v>
      </c>
      <c r="J68" s="25">
        <f>I68*G68</f>
        <v/>
      </c>
    </row>
    <row r="69">
      <c r="A69" s="23" t="n">
        <v>30</v>
      </c>
      <c r="B69" s="24" t="inlineStr">
        <is>
          <t>SOFT LOUNGE PANT</t>
        </is>
      </c>
      <c r="C69" s="24" t="inlineStr">
        <is>
          <t>Baby Blue</t>
        </is>
      </c>
      <c r="D69" s="23" t="inlineStr">
        <is>
          <t>M-L</t>
        </is>
      </c>
      <c r="E69" s="24" t="inlineStr">
        <is>
          <t>47304154808420</t>
        </is>
      </c>
      <c r="F69" s="25" t="n">
        <v>75</v>
      </c>
      <c r="G69" s="25">
        <f>F69*(1-AppliedDiscount)</f>
        <v/>
      </c>
      <c r="H69" s="23" t="n">
        <v>127</v>
      </c>
      <c r="I69" s="22" t="n">
        <v>0</v>
      </c>
      <c r="J69" s="25">
        <f>I69*G69</f>
        <v/>
      </c>
    </row>
    <row r="70">
      <c r="A70" s="19" t="n">
        <v>31</v>
      </c>
      <c r="B70" s="20" t="inlineStr">
        <is>
          <t>SOFT ESSENTIAL TOP</t>
        </is>
      </c>
      <c r="C70" s="20" t="inlineStr">
        <is>
          <t>Stone</t>
        </is>
      </c>
      <c r="D70" s="19" t="inlineStr">
        <is>
          <t>XS</t>
        </is>
      </c>
      <c r="E70" s="20" t="inlineStr">
        <is>
          <t>SK74445937</t>
        </is>
      </c>
      <c r="F70" s="21" t="n">
        <v>55</v>
      </c>
      <c r="G70" s="21">
        <f>F70*(1-AppliedDiscount)</f>
        <v/>
      </c>
      <c r="H70" s="19" t="n">
        <v>43</v>
      </c>
      <c r="I70" s="22" t="n">
        <v>0</v>
      </c>
      <c r="J70" s="21">
        <f>I70*G70</f>
        <v/>
      </c>
    </row>
    <row r="71">
      <c r="A71" s="19" t="n">
        <v>31</v>
      </c>
      <c r="B71" s="20" t="inlineStr">
        <is>
          <t>SOFT ESSENTIAL TOP</t>
        </is>
      </c>
      <c r="C71" s="20" t="inlineStr">
        <is>
          <t>Stone</t>
        </is>
      </c>
      <c r="D71" s="19" t="inlineStr">
        <is>
          <t>S</t>
        </is>
      </c>
      <c r="E71" s="20" t="inlineStr">
        <is>
          <t>SK19994136</t>
        </is>
      </c>
      <c r="F71" s="21" t="n">
        <v>55</v>
      </c>
      <c r="G71" s="21">
        <f>F71*(1-AppliedDiscount)</f>
        <v/>
      </c>
      <c r="H71" s="19" t="n">
        <v>58</v>
      </c>
      <c r="I71" s="22" t="n">
        <v>0</v>
      </c>
      <c r="J71" s="21">
        <f>I71*G71</f>
        <v/>
      </c>
    </row>
    <row r="72">
      <c r="A72" s="19" t="n">
        <v>31</v>
      </c>
      <c r="B72" s="20" t="inlineStr">
        <is>
          <t>SOFT ESSENTIAL TOP</t>
        </is>
      </c>
      <c r="C72" s="20" t="inlineStr">
        <is>
          <t>Stone</t>
        </is>
      </c>
      <c r="D72" s="19" t="inlineStr">
        <is>
          <t>M</t>
        </is>
      </c>
      <c r="E72" s="20" t="inlineStr">
        <is>
          <t>SK67847545</t>
        </is>
      </c>
      <c r="F72" s="21" t="n">
        <v>55</v>
      </c>
      <c r="G72" s="21">
        <f>F72*(1-AppliedDiscount)</f>
        <v/>
      </c>
      <c r="H72" s="19" t="n">
        <v>44</v>
      </c>
      <c r="I72" s="22" t="n">
        <v>0</v>
      </c>
      <c r="J72" s="21">
        <f>I72*G72</f>
        <v/>
      </c>
    </row>
    <row r="73">
      <c r="A73" s="19" t="n">
        <v>31</v>
      </c>
      <c r="B73" s="20" t="inlineStr">
        <is>
          <t>SOFT ESSENTIAL TOP</t>
        </is>
      </c>
      <c r="C73" s="20" t="inlineStr">
        <is>
          <t>Stone</t>
        </is>
      </c>
      <c r="D73" s="19" t="inlineStr">
        <is>
          <t>L</t>
        </is>
      </c>
      <c r="E73" s="20" t="inlineStr">
        <is>
          <t>SK26476719</t>
        </is>
      </c>
      <c r="F73" s="21" t="n">
        <v>55</v>
      </c>
      <c r="G73" s="21">
        <f>F73*(1-AppliedDiscount)</f>
        <v/>
      </c>
      <c r="H73" s="19" t="n">
        <v>97</v>
      </c>
      <c r="I73" s="22" t="n">
        <v>0</v>
      </c>
      <c r="J73" s="21">
        <f>I73*G73</f>
        <v/>
      </c>
    </row>
    <row r="74">
      <c r="A74" s="23" t="n">
        <v>32</v>
      </c>
      <c r="B74" s="24" t="inlineStr">
        <is>
          <t>SOFT ESSENTIAL TOP</t>
        </is>
      </c>
      <c r="C74" s="24" t="inlineStr">
        <is>
          <t>Koyu Vizon</t>
        </is>
      </c>
      <c r="D74" s="23" t="inlineStr">
        <is>
          <t>XS</t>
        </is>
      </c>
      <c r="E74" s="24" t="inlineStr">
        <is>
          <t>SK58682929</t>
        </is>
      </c>
      <c r="F74" s="25" t="n">
        <v>55</v>
      </c>
      <c r="G74" s="25">
        <f>F74*(1-AppliedDiscount)</f>
        <v/>
      </c>
      <c r="H74" s="23" t="n">
        <v>28</v>
      </c>
      <c r="I74" s="22" t="n">
        <v>0</v>
      </c>
      <c r="J74" s="25">
        <f>I74*G74</f>
        <v/>
      </c>
    </row>
    <row r="75">
      <c r="A75" s="23" t="n">
        <v>32</v>
      </c>
      <c r="B75" s="24" t="inlineStr">
        <is>
          <t>SOFT ESSENTIAL TOP</t>
        </is>
      </c>
      <c r="C75" s="24" t="inlineStr">
        <is>
          <t>Koyu Vizon</t>
        </is>
      </c>
      <c r="D75" s="23" t="inlineStr">
        <is>
          <t>S</t>
        </is>
      </c>
      <c r="E75" s="24" t="inlineStr">
        <is>
          <t>SK84536662</t>
        </is>
      </c>
      <c r="F75" s="25" t="n">
        <v>55</v>
      </c>
      <c r="G75" s="25">
        <f>F75*(1-AppliedDiscount)</f>
        <v/>
      </c>
      <c r="H75" s="23" t="n">
        <v>24</v>
      </c>
      <c r="I75" s="22" t="n">
        <v>0</v>
      </c>
      <c r="J75" s="25">
        <f>I75*G75</f>
        <v/>
      </c>
    </row>
    <row r="76">
      <c r="A76" s="23" t="n">
        <v>32</v>
      </c>
      <c r="B76" s="24" t="inlineStr">
        <is>
          <t>SOFT ESSENTIAL TOP</t>
        </is>
      </c>
      <c r="C76" s="24" t="inlineStr">
        <is>
          <t>Koyu Vizon</t>
        </is>
      </c>
      <c r="D76" s="23" t="inlineStr">
        <is>
          <t>L</t>
        </is>
      </c>
      <c r="E76" s="24" t="inlineStr">
        <is>
          <t>SK28552341</t>
        </is>
      </c>
      <c r="F76" s="25" t="n">
        <v>55</v>
      </c>
      <c r="G76" s="25">
        <f>F76*(1-AppliedDiscount)</f>
        <v/>
      </c>
      <c r="H76" s="23" t="n">
        <v>24</v>
      </c>
      <c r="I76" s="22" t="n">
        <v>0</v>
      </c>
      <c r="J76" s="25">
        <f>I76*G76</f>
        <v/>
      </c>
    </row>
    <row r="77">
      <c r="A77" s="19" t="n">
        <v>33</v>
      </c>
      <c r="B77" s="20" t="inlineStr">
        <is>
          <t>SOFT ESSENTIAL TOP</t>
        </is>
      </c>
      <c r="C77" s="20" t="inlineStr">
        <is>
          <t>Aci Kahve 1</t>
        </is>
      </c>
      <c r="D77" s="19" t="inlineStr">
        <is>
          <t>XS</t>
        </is>
      </c>
      <c r="E77" s="20" t="inlineStr">
        <is>
          <t>SK97786442</t>
        </is>
      </c>
      <c r="F77" s="21" t="n">
        <v>55</v>
      </c>
      <c r="G77" s="21">
        <f>F77*(1-AppliedDiscount)</f>
        <v/>
      </c>
      <c r="H77" s="19" t="n">
        <v>44</v>
      </c>
      <c r="I77" s="22" t="n">
        <v>0</v>
      </c>
      <c r="J77" s="21">
        <f>I77*G77</f>
        <v/>
      </c>
    </row>
    <row r="78">
      <c r="A78" s="19" t="n">
        <v>33</v>
      </c>
      <c r="B78" s="20" t="inlineStr">
        <is>
          <t>SOFT ESSENTIAL TOP</t>
        </is>
      </c>
      <c r="C78" s="20" t="inlineStr">
        <is>
          <t>Aci Kahve 1</t>
        </is>
      </c>
      <c r="D78" s="19" t="inlineStr">
        <is>
          <t>S</t>
        </is>
      </c>
      <c r="E78" s="20" t="inlineStr">
        <is>
          <t>SK23388385</t>
        </is>
      </c>
      <c r="F78" s="21" t="n">
        <v>55</v>
      </c>
      <c r="G78" s="21">
        <f>F78*(1-AppliedDiscount)</f>
        <v/>
      </c>
      <c r="H78" s="19" t="n">
        <v>25</v>
      </c>
      <c r="I78" s="22" t="n">
        <v>0</v>
      </c>
      <c r="J78" s="21">
        <f>I78*G78</f>
        <v/>
      </c>
    </row>
    <row r="79">
      <c r="A79" s="19" t="n">
        <v>33</v>
      </c>
      <c r="B79" s="20" t="inlineStr">
        <is>
          <t>SOFT ESSENTIAL TOP</t>
        </is>
      </c>
      <c r="C79" s="20" t="inlineStr">
        <is>
          <t>Aci Kahve 1</t>
        </is>
      </c>
      <c r="D79" s="19" t="inlineStr">
        <is>
          <t>M</t>
        </is>
      </c>
      <c r="E79" s="20" t="inlineStr">
        <is>
          <t>SK46007666</t>
        </is>
      </c>
      <c r="F79" s="21" t="n">
        <v>55</v>
      </c>
      <c r="G79" s="21">
        <f>F79*(1-AppliedDiscount)</f>
        <v/>
      </c>
      <c r="H79" s="19" t="n">
        <v>66</v>
      </c>
      <c r="I79" s="22" t="n">
        <v>0</v>
      </c>
      <c r="J79" s="21">
        <f>I79*G79</f>
        <v/>
      </c>
    </row>
    <row r="80">
      <c r="A80" s="19" t="n">
        <v>33</v>
      </c>
      <c r="B80" s="20" t="inlineStr">
        <is>
          <t>SOFT ESSENTIAL TOP</t>
        </is>
      </c>
      <c r="C80" s="20" t="inlineStr">
        <is>
          <t>Aci Kahve 1</t>
        </is>
      </c>
      <c r="D80" s="19" t="inlineStr">
        <is>
          <t>L</t>
        </is>
      </c>
      <c r="E80" s="20" t="inlineStr">
        <is>
          <t>SK40989095</t>
        </is>
      </c>
      <c r="F80" s="21" t="n">
        <v>55</v>
      </c>
      <c r="G80" s="21">
        <f>F80*(1-AppliedDiscount)</f>
        <v/>
      </c>
      <c r="H80" s="19" t="n">
        <v>66</v>
      </c>
      <c r="I80" s="22" t="n">
        <v>0</v>
      </c>
      <c r="J80" s="21">
        <f>I80*G80</f>
        <v/>
      </c>
    </row>
    <row r="81">
      <c r="A81" s="23" t="n">
        <v>34</v>
      </c>
      <c r="B81" s="24" t="inlineStr">
        <is>
          <t>SOFT ESSENTIAL TOP</t>
        </is>
      </c>
      <c r="C81" s="24" t="inlineStr">
        <is>
          <t>Grey Melange</t>
        </is>
      </c>
      <c r="D81" s="23" t="inlineStr">
        <is>
          <t>XS</t>
        </is>
      </c>
      <c r="E81" s="24" t="inlineStr">
        <is>
          <t>SK19033854</t>
        </is>
      </c>
      <c r="F81" s="25" t="n">
        <v>55</v>
      </c>
      <c r="G81" s="25">
        <f>F81*(1-AppliedDiscount)</f>
        <v/>
      </c>
      <c r="H81" s="23" t="n">
        <v>61</v>
      </c>
      <c r="I81" s="22" t="n">
        <v>0</v>
      </c>
      <c r="J81" s="25">
        <f>I81*G81</f>
        <v/>
      </c>
    </row>
    <row r="82">
      <c r="A82" s="23" t="n">
        <v>34</v>
      </c>
      <c r="B82" s="24" t="inlineStr">
        <is>
          <t>SOFT ESSENTIAL TOP</t>
        </is>
      </c>
      <c r="C82" s="24" t="inlineStr">
        <is>
          <t>Grey Melange</t>
        </is>
      </c>
      <c r="D82" s="23" t="inlineStr">
        <is>
          <t>S</t>
        </is>
      </c>
      <c r="E82" s="24" t="inlineStr">
        <is>
          <t>SK32872921</t>
        </is>
      </c>
      <c r="F82" s="25" t="n">
        <v>55</v>
      </c>
      <c r="G82" s="25">
        <f>F82*(1-AppliedDiscount)</f>
        <v/>
      </c>
      <c r="H82" s="23" t="n">
        <v>15</v>
      </c>
      <c r="I82" s="22" t="n">
        <v>0</v>
      </c>
      <c r="J82" s="25">
        <f>I82*G82</f>
        <v/>
      </c>
    </row>
    <row r="83">
      <c r="A83" s="23" t="n">
        <v>34</v>
      </c>
      <c r="B83" s="24" t="inlineStr">
        <is>
          <t>SOFT ESSENTIAL TOP</t>
        </is>
      </c>
      <c r="C83" s="24" t="inlineStr">
        <is>
          <t>Grey Melange</t>
        </is>
      </c>
      <c r="D83" s="23" t="inlineStr">
        <is>
          <t>M</t>
        </is>
      </c>
      <c r="E83" s="24" t="inlineStr">
        <is>
          <t>SK71173516</t>
        </is>
      </c>
      <c r="F83" s="25" t="n">
        <v>55</v>
      </c>
      <c r="G83" s="25">
        <f>F83*(1-AppliedDiscount)</f>
        <v/>
      </c>
      <c r="H83" s="23" t="n">
        <v>39</v>
      </c>
      <c r="I83" s="22" t="n">
        <v>0</v>
      </c>
      <c r="J83" s="25">
        <f>I83*G83</f>
        <v/>
      </c>
    </row>
    <row r="84">
      <c r="A84" s="23" t="n">
        <v>34</v>
      </c>
      <c r="B84" s="24" t="inlineStr">
        <is>
          <t>SOFT ESSENTIAL TOP</t>
        </is>
      </c>
      <c r="C84" s="24" t="inlineStr">
        <is>
          <t>Grey Melange</t>
        </is>
      </c>
      <c r="D84" s="23" t="inlineStr">
        <is>
          <t>L</t>
        </is>
      </c>
      <c r="E84" s="24" t="inlineStr">
        <is>
          <t>SK55525857</t>
        </is>
      </c>
      <c r="F84" s="25" t="n">
        <v>55</v>
      </c>
      <c r="G84" s="25">
        <f>F84*(1-AppliedDiscount)</f>
        <v/>
      </c>
      <c r="H84" s="23" t="n">
        <v>90</v>
      </c>
      <c r="I84" s="22" t="n">
        <v>0</v>
      </c>
      <c r="J84" s="25">
        <f>I84*G84</f>
        <v/>
      </c>
    </row>
    <row r="85">
      <c r="A85" s="19" t="n">
        <v>35</v>
      </c>
      <c r="B85" s="20" t="inlineStr">
        <is>
          <t>SOFT ESSENTIAL TOP</t>
        </is>
      </c>
      <c r="C85" s="20" t="inlineStr">
        <is>
          <t>Baby Blue</t>
        </is>
      </c>
      <c r="D85" s="19" t="inlineStr">
        <is>
          <t>XS</t>
        </is>
      </c>
      <c r="E85" s="20" t="inlineStr">
        <is>
          <t>SK17493288</t>
        </is>
      </c>
      <c r="F85" s="21" t="n">
        <v>55</v>
      </c>
      <c r="G85" s="21">
        <f>F85*(1-AppliedDiscount)</f>
        <v/>
      </c>
      <c r="H85" s="19" t="n">
        <v>25</v>
      </c>
      <c r="I85" s="22" t="n">
        <v>0</v>
      </c>
      <c r="J85" s="21">
        <f>I85*G85</f>
        <v/>
      </c>
    </row>
    <row r="86">
      <c r="A86" s="19" t="n">
        <v>35</v>
      </c>
      <c r="B86" s="20" t="inlineStr">
        <is>
          <t>SOFT ESSENTIAL TOP</t>
        </is>
      </c>
      <c r="C86" s="20" t="inlineStr">
        <is>
          <t>Baby Blue</t>
        </is>
      </c>
      <c r="D86" s="19" t="inlineStr">
        <is>
          <t>S</t>
        </is>
      </c>
      <c r="E86" s="20" t="inlineStr">
        <is>
          <t>SK23139959</t>
        </is>
      </c>
      <c r="F86" s="21" t="n">
        <v>55</v>
      </c>
      <c r="G86" s="21">
        <f>F86*(1-AppliedDiscount)</f>
        <v/>
      </c>
      <c r="H86" s="19" t="n">
        <v>26</v>
      </c>
      <c r="I86" s="22" t="n">
        <v>0</v>
      </c>
      <c r="J86" s="21">
        <f>I86*G86</f>
        <v/>
      </c>
    </row>
    <row r="87">
      <c r="A87" s="19" t="n">
        <v>35</v>
      </c>
      <c r="B87" s="20" t="inlineStr">
        <is>
          <t>SOFT ESSENTIAL TOP</t>
        </is>
      </c>
      <c r="C87" s="20" t="inlineStr">
        <is>
          <t>Baby Blue</t>
        </is>
      </c>
      <c r="D87" s="19" t="inlineStr">
        <is>
          <t>M</t>
        </is>
      </c>
      <c r="E87" s="20" t="inlineStr">
        <is>
          <t>SK30913441</t>
        </is>
      </c>
      <c r="F87" s="21" t="n">
        <v>55</v>
      </c>
      <c r="G87" s="21">
        <f>F87*(1-AppliedDiscount)</f>
        <v/>
      </c>
      <c r="H87" s="19" t="n">
        <v>76</v>
      </c>
      <c r="I87" s="22" t="n">
        <v>0</v>
      </c>
      <c r="J87" s="21">
        <f>I87*G87</f>
        <v/>
      </c>
    </row>
    <row r="88">
      <c r="A88" s="19" t="n">
        <v>35</v>
      </c>
      <c r="B88" s="20" t="inlineStr">
        <is>
          <t>SOFT ESSENTIAL TOP</t>
        </is>
      </c>
      <c r="C88" s="20" t="inlineStr">
        <is>
          <t>Baby Blue</t>
        </is>
      </c>
      <c r="D88" s="19" t="inlineStr">
        <is>
          <t>L</t>
        </is>
      </c>
      <c r="E88" s="20" t="inlineStr">
        <is>
          <t>SK73923410</t>
        </is>
      </c>
      <c r="F88" s="21" t="n">
        <v>55</v>
      </c>
      <c r="G88" s="21">
        <f>F88*(1-AppliedDiscount)</f>
        <v/>
      </c>
      <c r="H88" s="19" t="n">
        <v>57</v>
      </c>
      <c r="I88" s="22" t="n">
        <v>0</v>
      </c>
      <c r="J88" s="21">
        <f>I88*G88</f>
        <v/>
      </c>
    </row>
    <row r="89">
      <c r="A89" s="23" t="n">
        <v>36</v>
      </c>
      <c r="B89" s="24" t="inlineStr">
        <is>
          <t>SOFT ESSENTIAL TOP</t>
        </is>
      </c>
      <c r="C89" s="24" t="inlineStr">
        <is>
          <t>Butter Yellow</t>
        </is>
      </c>
      <c r="D89" s="23" t="inlineStr">
        <is>
          <t>XS</t>
        </is>
      </c>
      <c r="E89" s="24" t="inlineStr">
        <is>
          <t>SK86939661</t>
        </is>
      </c>
      <c r="F89" s="25" t="n">
        <v>55</v>
      </c>
      <c r="G89" s="25">
        <f>F89*(1-AppliedDiscount)</f>
        <v/>
      </c>
      <c r="H89" s="23" t="n">
        <v>144</v>
      </c>
      <c r="I89" s="22" t="n">
        <v>0</v>
      </c>
      <c r="J89" s="25">
        <f>I89*G89</f>
        <v/>
      </c>
    </row>
    <row r="90">
      <c r="A90" s="23" t="n">
        <v>36</v>
      </c>
      <c r="B90" s="24" t="inlineStr">
        <is>
          <t>SOFT ESSENTIAL TOP</t>
        </is>
      </c>
      <c r="C90" s="24" t="inlineStr">
        <is>
          <t>Butter Yellow</t>
        </is>
      </c>
      <c r="D90" s="23" t="inlineStr">
        <is>
          <t>S</t>
        </is>
      </c>
      <c r="E90" s="24" t="inlineStr">
        <is>
          <t>SK23116195</t>
        </is>
      </c>
      <c r="F90" s="25" t="n">
        <v>55</v>
      </c>
      <c r="G90" s="25">
        <f>F90*(1-AppliedDiscount)</f>
        <v/>
      </c>
      <c r="H90" s="23" t="n">
        <v>62</v>
      </c>
      <c r="I90" s="22" t="n">
        <v>0</v>
      </c>
      <c r="J90" s="25">
        <f>I90*G90</f>
        <v/>
      </c>
    </row>
    <row r="91">
      <c r="A91" s="23" t="n">
        <v>36</v>
      </c>
      <c r="B91" s="24" t="inlineStr">
        <is>
          <t>SOFT ESSENTIAL TOP</t>
        </is>
      </c>
      <c r="C91" s="24" t="inlineStr">
        <is>
          <t>Butter Yellow</t>
        </is>
      </c>
      <c r="D91" s="23" t="inlineStr">
        <is>
          <t>M</t>
        </is>
      </c>
      <c r="E91" s="24" t="inlineStr">
        <is>
          <t>SK96623925</t>
        </is>
      </c>
      <c r="F91" s="25" t="n">
        <v>55</v>
      </c>
      <c r="G91" s="25">
        <f>F91*(1-AppliedDiscount)</f>
        <v/>
      </c>
      <c r="H91" s="23" t="n">
        <v>69</v>
      </c>
      <c r="I91" s="22" t="n">
        <v>0</v>
      </c>
      <c r="J91" s="25">
        <f>I91*G91</f>
        <v/>
      </c>
    </row>
    <row r="92">
      <c r="A92" s="23" t="n">
        <v>36</v>
      </c>
      <c r="B92" s="24" t="inlineStr">
        <is>
          <t>SOFT ESSENTIAL TOP</t>
        </is>
      </c>
      <c r="C92" s="24" t="inlineStr">
        <is>
          <t>Butter Yellow</t>
        </is>
      </c>
      <c r="D92" s="23" t="inlineStr">
        <is>
          <t>L</t>
        </is>
      </c>
      <c r="E92" s="24" t="inlineStr">
        <is>
          <t>SK86535590</t>
        </is>
      </c>
      <c r="F92" s="25" t="n">
        <v>55</v>
      </c>
      <c r="G92" s="25">
        <f>F92*(1-AppliedDiscount)</f>
        <v/>
      </c>
      <c r="H92" s="23" t="n">
        <v>128</v>
      </c>
      <c r="I92" s="22" t="n">
        <v>0</v>
      </c>
      <c r="J92" s="25">
        <f>I92*G92</f>
        <v/>
      </c>
    </row>
    <row r="93">
      <c r="A93" s="19" t="n">
        <v>37</v>
      </c>
      <c r="B93" s="20" t="inlineStr">
        <is>
          <t>SOFT ESSENTIAL TOP</t>
        </is>
      </c>
      <c r="C93" s="20" t="inlineStr">
        <is>
          <t>Black</t>
        </is>
      </c>
      <c r="D93" s="19" t="inlineStr">
        <is>
          <t>XS</t>
        </is>
      </c>
      <c r="E93" s="20" t="inlineStr">
        <is>
          <t>SK95136358</t>
        </is>
      </c>
      <c r="F93" s="21" t="n">
        <v>55</v>
      </c>
      <c r="G93" s="21">
        <f>F93*(1-AppliedDiscount)</f>
        <v/>
      </c>
      <c r="H93" s="19" t="n">
        <v>64</v>
      </c>
      <c r="I93" s="22" t="n">
        <v>0</v>
      </c>
      <c r="J93" s="21">
        <f>I93*G93</f>
        <v/>
      </c>
    </row>
    <row r="94">
      <c r="A94" s="19" t="n">
        <v>37</v>
      </c>
      <c r="B94" s="20" t="inlineStr">
        <is>
          <t>SOFT ESSENTIAL TOP</t>
        </is>
      </c>
      <c r="C94" s="20" t="inlineStr">
        <is>
          <t>Black</t>
        </is>
      </c>
      <c r="D94" s="19" t="inlineStr">
        <is>
          <t>S</t>
        </is>
      </c>
      <c r="E94" s="20" t="inlineStr">
        <is>
          <t>SK35454033</t>
        </is>
      </c>
      <c r="F94" s="21" t="n">
        <v>55</v>
      </c>
      <c r="G94" s="21">
        <f>F94*(1-AppliedDiscount)</f>
        <v/>
      </c>
      <c r="H94" s="19" t="n">
        <v>41</v>
      </c>
      <c r="I94" s="22" t="n">
        <v>0</v>
      </c>
      <c r="J94" s="21">
        <f>I94*G94</f>
        <v/>
      </c>
    </row>
    <row r="95">
      <c r="A95" s="19" t="n">
        <v>37</v>
      </c>
      <c r="B95" s="20" t="inlineStr">
        <is>
          <t>SOFT ESSENTIAL TOP</t>
        </is>
      </c>
      <c r="C95" s="20" t="inlineStr">
        <is>
          <t>Black</t>
        </is>
      </c>
      <c r="D95" s="19" t="inlineStr">
        <is>
          <t>M</t>
        </is>
      </c>
      <c r="E95" s="20" t="inlineStr">
        <is>
          <t>SK77360182</t>
        </is>
      </c>
      <c r="F95" s="21" t="n">
        <v>55</v>
      </c>
      <c r="G95" s="21">
        <f>F95*(1-AppliedDiscount)</f>
        <v/>
      </c>
      <c r="H95" s="19" t="n">
        <v>47</v>
      </c>
      <c r="I95" s="22" t="n">
        <v>0</v>
      </c>
      <c r="J95" s="21">
        <f>I95*G95</f>
        <v/>
      </c>
    </row>
    <row r="96">
      <c r="A96" s="19" t="n">
        <v>37</v>
      </c>
      <c r="B96" s="20" t="inlineStr">
        <is>
          <t>SOFT ESSENTIAL TOP</t>
        </is>
      </c>
      <c r="C96" s="20" t="inlineStr">
        <is>
          <t>Black</t>
        </is>
      </c>
      <c r="D96" s="19" t="inlineStr">
        <is>
          <t>L</t>
        </is>
      </c>
      <c r="E96" s="20" t="inlineStr">
        <is>
          <t>SK23095958</t>
        </is>
      </c>
      <c r="F96" s="21" t="n">
        <v>55</v>
      </c>
      <c r="G96" s="21">
        <f>F96*(1-AppliedDiscount)</f>
        <v/>
      </c>
      <c r="H96" s="19" t="n">
        <v>54</v>
      </c>
      <c r="I96" s="22" t="n">
        <v>0</v>
      </c>
      <c r="J96" s="21">
        <f>I96*G96</f>
        <v/>
      </c>
    </row>
    <row r="97">
      <c r="A97" s="23" t="n">
        <v>38</v>
      </c>
      <c r="B97" s="24" t="inlineStr">
        <is>
          <t>SOFT ESSENTIAL TOP</t>
        </is>
      </c>
      <c r="C97" s="24" t="inlineStr">
        <is>
          <t>Burgundy</t>
        </is>
      </c>
      <c r="D97" s="23" t="inlineStr">
        <is>
          <t>XS</t>
        </is>
      </c>
      <c r="E97" s="24" t="inlineStr">
        <is>
          <t>SK56794478</t>
        </is>
      </c>
      <c r="F97" s="25" t="n">
        <v>55</v>
      </c>
      <c r="G97" s="25">
        <f>F97*(1-AppliedDiscount)</f>
        <v/>
      </c>
      <c r="H97" s="23" t="n">
        <v>59</v>
      </c>
      <c r="I97" s="22" t="n">
        <v>0</v>
      </c>
      <c r="J97" s="25">
        <f>I97*G97</f>
        <v/>
      </c>
    </row>
    <row r="98">
      <c r="A98" s="23" t="n">
        <v>38</v>
      </c>
      <c r="B98" s="24" t="inlineStr">
        <is>
          <t>SOFT ESSENTIAL TOP</t>
        </is>
      </c>
      <c r="C98" s="24" t="inlineStr">
        <is>
          <t>Burgundy</t>
        </is>
      </c>
      <c r="D98" s="23" t="inlineStr">
        <is>
          <t>S</t>
        </is>
      </c>
      <c r="E98" s="24" t="inlineStr">
        <is>
          <t>SK34644684</t>
        </is>
      </c>
      <c r="F98" s="25" t="n">
        <v>55</v>
      </c>
      <c r="G98" s="25">
        <f>F98*(1-AppliedDiscount)</f>
        <v/>
      </c>
      <c r="H98" s="23" t="n">
        <v>42</v>
      </c>
      <c r="I98" s="22" t="n">
        <v>0</v>
      </c>
      <c r="J98" s="25">
        <f>I98*G98</f>
        <v/>
      </c>
    </row>
    <row r="99">
      <c r="A99" s="23" t="n">
        <v>38</v>
      </c>
      <c r="B99" s="24" t="inlineStr">
        <is>
          <t>SOFT ESSENTIAL TOP</t>
        </is>
      </c>
      <c r="C99" s="24" t="inlineStr">
        <is>
          <t>Burgundy</t>
        </is>
      </c>
      <c r="D99" s="23" t="inlineStr">
        <is>
          <t>M</t>
        </is>
      </c>
      <c r="E99" s="24" t="inlineStr">
        <is>
          <t>SK97901055</t>
        </is>
      </c>
      <c r="F99" s="25" t="n">
        <v>55</v>
      </c>
      <c r="G99" s="25">
        <f>F99*(1-AppliedDiscount)</f>
        <v/>
      </c>
      <c r="H99" s="23" t="n">
        <v>25</v>
      </c>
      <c r="I99" s="22" t="n">
        <v>0</v>
      </c>
      <c r="J99" s="25">
        <f>I99*G99</f>
        <v/>
      </c>
    </row>
    <row r="100">
      <c r="A100" s="23" t="n">
        <v>38</v>
      </c>
      <c r="B100" s="24" t="inlineStr">
        <is>
          <t>SOFT ESSENTIAL TOP</t>
        </is>
      </c>
      <c r="C100" s="24" t="inlineStr">
        <is>
          <t>Burgundy</t>
        </is>
      </c>
      <c r="D100" s="23" t="inlineStr">
        <is>
          <t>L</t>
        </is>
      </c>
      <c r="E100" s="24" t="inlineStr">
        <is>
          <t>SK21364772</t>
        </is>
      </c>
      <c r="F100" s="25" t="n">
        <v>55</v>
      </c>
      <c r="G100" s="25">
        <f>F100*(1-AppliedDiscount)</f>
        <v/>
      </c>
      <c r="H100" s="23" t="n">
        <v>95</v>
      </c>
      <c r="I100" s="22" t="n">
        <v>0</v>
      </c>
      <c r="J100" s="25">
        <f>I100*G100</f>
        <v/>
      </c>
    </row>
    <row r="101">
      <c r="A101" s="19" t="n">
        <v>39</v>
      </c>
      <c r="B101" s="20" t="inlineStr">
        <is>
          <t>SOFT LOUNGE PANT</t>
        </is>
      </c>
      <c r="C101" s="20" t="inlineStr">
        <is>
          <t>Butter Yellow</t>
        </is>
      </c>
      <c r="D101" s="19" t="inlineStr">
        <is>
          <t>XS-S</t>
        </is>
      </c>
      <c r="E101" s="20" t="inlineStr">
        <is>
          <t>47280364847204</t>
        </is>
      </c>
      <c r="F101" s="21" t="n">
        <v>75</v>
      </c>
      <c r="G101" s="21">
        <f>F101*(1-AppliedDiscount)</f>
        <v/>
      </c>
      <c r="H101" s="19" t="n">
        <v>0</v>
      </c>
      <c r="I101" s="22" t="n">
        <v>0</v>
      </c>
      <c r="J101" s="21">
        <f>I101*G101</f>
        <v/>
      </c>
    </row>
    <row r="102">
      <c r="A102" s="19" t="n">
        <v>39</v>
      </c>
      <c r="B102" s="20" t="inlineStr">
        <is>
          <t>SOFT LOUNGE PANT</t>
        </is>
      </c>
      <c r="C102" s="20" t="inlineStr">
        <is>
          <t>Butter Yellow</t>
        </is>
      </c>
      <c r="D102" s="19" t="inlineStr">
        <is>
          <t>M-L</t>
        </is>
      </c>
      <c r="E102" s="20" t="inlineStr">
        <is>
          <t>47280365502564</t>
        </is>
      </c>
      <c r="F102" s="21" t="n">
        <v>75</v>
      </c>
      <c r="G102" s="21">
        <f>F102*(1-AppliedDiscount)</f>
        <v/>
      </c>
      <c r="H102" s="19" t="n">
        <v>25</v>
      </c>
      <c r="I102" s="22" t="n">
        <v>0</v>
      </c>
      <c r="J102" s="21">
        <f>I102*G102</f>
        <v/>
      </c>
    </row>
    <row r="103">
      <c r="A103" s="23" t="n">
        <v>40</v>
      </c>
      <c r="B103" s="24" t="inlineStr">
        <is>
          <t>SOFT LOUNGE PANT</t>
        </is>
      </c>
      <c r="C103" s="24" t="inlineStr">
        <is>
          <t>Mink</t>
        </is>
      </c>
      <c r="D103" s="23" t="inlineStr">
        <is>
          <t>XS-S</t>
        </is>
      </c>
      <c r="E103" s="24" t="inlineStr">
        <is>
          <t>47280337682532</t>
        </is>
      </c>
      <c r="F103" s="25" t="n">
        <v>75</v>
      </c>
      <c r="G103" s="25">
        <f>F103*(1-AppliedDiscount)</f>
        <v/>
      </c>
      <c r="H103" s="23" t="n">
        <v>17</v>
      </c>
      <c r="I103" s="22" t="n">
        <v>0</v>
      </c>
      <c r="J103" s="25">
        <f>I103*G103</f>
        <v/>
      </c>
    </row>
    <row r="104">
      <c r="A104" s="19" t="n">
        <v>41</v>
      </c>
      <c r="B104" s="20" t="inlineStr">
        <is>
          <t>SOFT LOUNGE PANT</t>
        </is>
      </c>
      <c r="C104" s="20" t="inlineStr">
        <is>
          <t>Stone</t>
        </is>
      </c>
      <c r="D104" s="19" t="inlineStr">
        <is>
          <t>XS-S</t>
        </is>
      </c>
      <c r="E104" s="20" t="inlineStr">
        <is>
          <t>SK27987679</t>
        </is>
      </c>
      <c r="F104" s="21" t="n">
        <v>75</v>
      </c>
      <c r="G104" s="21">
        <f>F104*(1-AppliedDiscount)</f>
        <v/>
      </c>
      <c r="H104" s="19" t="n">
        <v>36</v>
      </c>
      <c r="I104" s="22" t="n">
        <v>0</v>
      </c>
      <c r="J104" s="21">
        <f>I104*G104</f>
        <v/>
      </c>
    </row>
    <row r="105">
      <c r="A105" s="19" t="n">
        <v>41</v>
      </c>
      <c r="B105" s="20" t="inlineStr">
        <is>
          <t>SOFT LOUNGE PANT</t>
        </is>
      </c>
      <c r="C105" s="20" t="inlineStr">
        <is>
          <t>Stone</t>
        </is>
      </c>
      <c r="D105" s="19" t="inlineStr">
        <is>
          <t>M-L</t>
        </is>
      </c>
      <c r="E105" s="20" t="inlineStr">
        <is>
          <t>SK89264526</t>
        </is>
      </c>
      <c r="F105" s="21" t="n">
        <v>75</v>
      </c>
      <c r="G105" s="21">
        <f>F105*(1-AppliedDiscount)</f>
        <v/>
      </c>
      <c r="H105" s="19" t="n">
        <v>115</v>
      </c>
      <c r="I105" s="22" t="n">
        <v>0</v>
      </c>
      <c r="J105" s="21">
        <f>I105*G105</f>
        <v/>
      </c>
    </row>
    <row r="106">
      <c r="A106" s="23" t="n">
        <v>42</v>
      </c>
      <c r="B106" s="24" t="inlineStr">
        <is>
          <t>SOFT LOUNGE PANT</t>
        </is>
      </c>
      <c r="C106" s="24" t="inlineStr">
        <is>
          <t>Bitter Coffee</t>
        </is>
      </c>
      <c r="D106" s="23" t="inlineStr">
        <is>
          <t>XS-S</t>
        </is>
      </c>
      <c r="E106" s="24" t="inlineStr">
        <is>
          <t>SK47241635</t>
        </is>
      </c>
      <c r="F106" s="25" t="n">
        <v>75</v>
      </c>
      <c r="G106" s="25">
        <f>F106*(1-AppliedDiscount)</f>
        <v/>
      </c>
      <c r="H106" s="23" t="n">
        <v>61</v>
      </c>
      <c r="I106" s="22" t="n">
        <v>0</v>
      </c>
      <c r="J106" s="25">
        <f>I106*G106</f>
        <v/>
      </c>
    </row>
    <row r="107">
      <c r="A107" s="23" t="n">
        <v>42</v>
      </c>
      <c r="B107" s="24" t="inlineStr">
        <is>
          <t>SOFT LOUNGE PANT</t>
        </is>
      </c>
      <c r="C107" s="24" t="inlineStr">
        <is>
          <t>Bitter Coffee</t>
        </is>
      </c>
      <c r="D107" s="23" t="inlineStr">
        <is>
          <t>M-L</t>
        </is>
      </c>
      <c r="E107" s="24" t="inlineStr">
        <is>
          <t>SK35681824</t>
        </is>
      </c>
      <c r="F107" s="25" t="n">
        <v>75</v>
      </c>
      <c r="G107" s="25">
        <f>F107*(1-AppliedDiscount)</f>
        <v/>
      </c>
      <c r="H107" s="23" t="n">
        <v>24</v>
      </c>
      <c r="I107" s="22" t="n">
        <v>0</v>
      </c>
      <c r="J107" s="25">
        <f>I107*G107</f>
        <v/>
      </c>
    </row>
    <row r="108">
      <c r="A108" s="19" t="n">
        <v>43</v>
      </c>
      <c r="B108" s="20" t="inlineStr">
        <is>
          <t>SOFT LOUNGE PANT</t>
        </is>
      </c>
      <c r="C108" s="20" t="inlineStr">
        <is>
          <t>Burgundy</t>
        </is>
      </c>
      <c r="D108" s="19" t="inlineStr">
        <is>
          <t>XS-S</t>
        </is>
      </c>
      <c r="E108" s="20" t="inlineStr">
        <is>
          <t>47280319823972</t>
        </is>
      </c>
      <c r="F108" s="21" t="n">
        <v>75</v>
      </c>
      <c r="G108" s="21">
        <f>F108*(1-AppliedDiscount)</f>
        <v/>
      </c>
      <c r="H108" s="19" t="n">
        <v>79</v>
      </c>
      <c r="I108" s="22" t="n">
        <v>0</v>
      </c>
      <c r="J108" s="21">
        <f>I108*G108</f>
        <v/>
      </c>
    </row>
    <row r="109">
      <c r="A109" s="19" t="n">
        <v>43</v>
      </c>
      <c r="B109" s="20" t="inlineStr">
        <is>
          <t>SOFT LOUNGE PANT</t>
        </is>
      </c>
      <c r="C109" s="20" t="inlineStr">
        <is>
          <t>Burgundy</t>
        </is>
      </c>
      <c r="D109" s="19" t="inlineStr">
        <is>
          <t>M-L</t>
        </is>
      </c>
      <c r="E109" s="20" t="inlineStr">
        <is>
          <t>47280320479332</t>
        </is>
      </c>
      <c r="F109" s="21" t="n">
        <v>75</v>
      </c>
      <c r="G109" s="21">
        <f>F109*(1-AppliedDiscount)</f>
        <v/>
      </c>
      <c r="H109" s="19" t="n">
        <v>102</v>
      </c>
      <c r="I109" s="22" t="n">
        <v>0</v>
      </c>
      <c r="J109" s="21">
        <f>I109*G109</f>
        <v/>
      </c>
    </row>
    <row r="110">
      <c r="A110" s="23" t="n">
        <v>44</v>
      </c>
      <c r="B110" s="24" t="inlineStr">
        <is>
          <t>SOFT ESSENTIAL TOP</t>
        </is>
      </c>
      <c r="C110" s="24" t="inlineStr">
        <is>
          <t>ekru</t>
        </is>
      </c>
      <c r="D110" s="23" t="inlineStr">
        <is>
          <t>XS</t>
        </is>
      </c>
      <c r="E110" s="24" t="inlineStr">
        <is>
          <t>SK43561542</t>
        </is>
      </c>
      <c r="F110" s="25" t="n">
        <v>55</v>
      </c>
      <c r="G110" s="25">
        <f>F110*(1-AppliedDiscount)</f>
        <v/>
      </c>
      <c r="H110" s="23" t="n">
        <v>37</v>
      </c>
      <c r="I110" s="22" t="n">
        <v>0</v>
      </c>
      <c r="J110" s="25">
        <f>I110*G110</f>
        <v/>
      </c>
    </row>
    <row r="111">
      <c r="A111" s="23" t="n">
        <v>44</v>
      </c>
      <c r="B111" s="24" t="inlineStr">
        <is>
          <t>SOFT ESSENTIAL TOP</t>
        </is>
      </c>
      <c r="C111" s="24" t="inlineStr">
        <is>
          <t>ekru</t>
        </is>
      </c>
      <c r="D111" s="23" t="inlineStr">
        <is>
          <t>S</t>
        </is>
      </c>
      <c r="E111" s="24" t="inlineStr">
        <is>
          <t>SK50724579</t>
        </is>
      </c>
      <c r="F111" s="25" t="n">
        <v>55</v>
      </c>
      <c r="G111" s="25">
        <f>F111*(1-AppliedDiscount)</f>
        <v/>
      </c>
      <c r="H111" s="23" t="n">
        <v>28</v>
      </c>
      <c r="I111" s="22" t="n">
        <v>0</v>
      </c>
      <c r="J111" s="25">
        <f>I111*G111</f>
        <v/>
      </c>
    </row>
    <row r="112">
      <c r="A112" s="23" t="n">
        <v>44</v>
      </c>
      <c r="B112" s="24" t="inlineStr">
        <is>
          <t>SOFT ESSENTIAL TOP</t>
        </is>
      </c>
      <c r="C112" s="24" t="inlineStr">
        <is>
          <t>ekru</t>
        </is>
      </c>
      <c r="D112" s="23" t="inlineStr">
        <is>
          <t>M</t>
        </is>
      </c>
      <c r="E112" s="24" t="inlineStr">
        <is>
          <t>SK50798258</t>
        </is>
      </c>
      <c r="F112" s="25" t="n">
        <v>55</v>
      </c>
      <c r="G112" s="25">
        <f>F112*(1-AppliedDiscount)</f>
        <v/>
      </c>
      <c r="H112" s="23" t="n">
        <v>35</v>
      </c>
      <c r="I112" s="22" t="n">
        <v>0</v>
      </c>
      <c r="J112" s="25">
        <f>I112*G112</f>
        <v/>
      </c>
    </row>
    <row r="113">
      <c r="A113" s="23" t="n">
        <v>44</v>
      </c>
      <c r="B113" s="24" t="inlineStr">
        <is>
          <t>SOFT ESSENTIAL TOP</t>
        </is>
      </c>
      <c r="C113" s="24" t="inlineStr">
        <is>
          <t>ekru</t>
        </is>
      </c>
      <c r="D113" s="23" t="inlineStr">
        <is>
          <t>L</t>
        </is>
      </c>
      <c r="E113" s="24" t="inlineStr">
        <is>
          <t>SK32650807</t>
        </is>
      </c>
      <c r="F113" s="25" t="n">
        <v>55</v>
      </c>
      <c r="G113" s="25">
        <f>F113*(1-AppliedDiscount)</f>
        <v/>
      </c>
      <c r="H113" s="23" t="n">
        <v>60</v>
      </c>
      <c r="I113" s="22" t="n">
        <v>0</v>
      </c>
      <c r="J113" s="25">
        <f>I113*G113</f>
        <v/>
      </c>
    </row>
    <row r="114">
      <c r="A114" s="19" t="n">
        <v>45</v>
      </c>
      <c r="B114" s="20" t="inlineStr">
        <is>
          <t>SOFT ESSENTIAL TOP</t>
        </is>
      </c>
      <c r="C114" s="20" t="inlineStr">
        <is>
          <t>red</t>
        </is>
      </c>
      <c r="D114" s="19" t="inlineStr">
        <is>
          <t>XS</t>
        </is>
      </c>
      <c r="E114" s="20" t="inlineStr">
        <is>
          <t>SK44557730</t>
        </is>
      </c>
      <c r="F114" s="21" t="n">
        <v>55</v>
      </c>
      <c r="G114" s="21">
        <f>F114*(1-AppliedDiscount)</f>
        <v/>
      </c>
      <c r="H114" s="19" t="n">
        <v>89</v>
      </c>
      <c r="I114" s="22" t="n">
        <v>0</v>
      </c>
      <c r="J114" s="21">
        <f>I114*G114</f>
        <v/>
      </c>
    </row>
    <row r="115">
      <c r="A115" s="19" t="n">
        <v>45</v>
      </c>
      <c r="B115" s="20" t="inlineStr">
        <is>
          <t>SOFT ESSENTIAL TOP</t>
        </is>
      </c>
      <c r="C115" s="20" t="inlineStr">
        <is>
          <t>red</t>
        </is>
      </c>
      <c r="D115" s="19" t="inlineStr">
        <is>
          <t>S</t>
        </is>
      </c>
      <c r="E115" s="20" t="inlineStr">
        <is>
          <t>SK80437910</t>
        </is>
      </c>
      <c r="F115" s="21" t="n">
        <v>55</v>
      </c>
      <c r="G115" s="21">
        <f>F115*(1-AppliedDiscount)</f>
        <v/>
      </c>
      <c r="H115" s="19" t="n">
        <v>68</v>
      </c>
      <c r="I115" s="22" t="n">
        <v>0</v>
      </c>
      <c r="J115" s="21">
        <f>I115*G115</f>
        <v/>
      </c>
    </row>
    <row r="116">
      <c r="A116" s="19" t="n">
        <v>45</v>
      </c>
      <c r="B116" s="20" t="inlineStr">
        <is>
          <t>SOFT ESSENTIAL TOP</t>
        </is>
      </c>
      <c r="C116" s="20" t="inlineStr">
        <is>
          <t>red</t>
        </is>
      </c>
      <c r="D116" s="19" t="inlineStr">
        <is>
          <t>M</t>
        </is>
      </c>
      <c r="E116" s="20" t="inlineStr">
        <is>
          <t>SK42951752</t>
        </is>
      </c>
      <c r="F116" s="21" t="n">
        <v>55</v>
      </c>
      <c r="G116" s="21">
        <f>F116*(1-AppliedDiscount)</f>
        <v/>
      </c>
      <c r="H116" s="19" t="n">
        <v>66</v>
      </c>
      <c r="I116" s="22" t="n">
        <v>0</v>
      </c>
      <c r="J116" s="21">
        <f>I116*G116</f>
        <v/>
      </c>
    </row>
    <row r="117">
      <c r="A117" s="19" t="n">
        <v>45</v>
      </c>
      <c r="B117" s="20" t="inlineStr">
        <is>
          <t>SOFT ESSENTIAL TOP</t>
        </is>
      </c>
      <c r="C117" s="20" t="inlineStr">
        <is>
          <t>red</t>
        </is>
      </c>
      <c r="D117" s="19" t="inlineStr">
        <is>
          <t>L</t>
        </is>
      </c>
      <c r="E117" s="20" t="inlineStr">
        <is>
          <t>SK51525787</t>
        </is>
      </c>
      <c r="F117" s="21" t="n">
        <v>55</v>
      </c>
      <c r="G117" s="21">
        <f>F117*(1-AppliedDiscount)</f>
        <v/>
      </c>
      <c r="H117" s="19" t="n">
        <v>93</v>
      </c>
      <c r="I117" s="22" t="n">
        <v>0</v>
      </c>
      <c r="J117" s="21">
        <f>I117*G117</f>
        <v/>
      </c>
    </row>
    <row r="119">
      <c r="H119" s="26" t="inlineStr">
        <is>
          <t>TOTALS</t>
        </is>
      </c>
      <c r="I119" s="27">
        <f>SUM(I2:I117)</f>
        <v/>
      </c>
      <c r="J119" s="28">
        <f>SUM(J2:J117)</f>
        <v/>
      </c>
    </row>
    <row r="120">
      <c r="B120" s="10" t="inlineStr">
        <is>
          <t>MOQ €10,000 wholesale subtotal. Below MOQ, discount drops to 20–25% off retail (see Order Info).</t>
        </is>
      </c>
    </row>
  </sheetData>
  <autoFilter ref="A1:J117"/>
  <conditionalFormatting sqref="H2:H117">
    <cfRule type="cellIs" priority="1" operator="lessThanOrEqual" dxfId="0">
      <formula>0</formula>
    </cfRule>
  </conditionalFormatting>
  <conditionalFormatting sqref="I2:I117">
    <cfRule type="expression" priority="2" dxfId="1">
      <formula>AND(I2&gt;0,I2&gt;H2)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0" customWidth="1" min="3" max="3"/>
    <col width="28" customWidth="1" min="4" max="4"/>
    <col width="22" customWidth="1" min="5" max="5"/>
    <col width="12" customWidth="1" min="6" max="6"/>
  </cols>
  <sheetData>
    <row r="1" ht="26" customHeight="1">
      <c r="A1" s="29" t="inlineStr">
        <is>
          <t>Style</t>
        </is>
      </c>
      <c r="B1" s="29" t="inlineStr">
        <is>
          <t>Color</t>
        </is>
      </c>
      <c r="C1" s="29" t="inlineStr">
        <is>
          <t>Variants</t>
        </is>
      </c>
      <c r="D1" s="29" t="inlineStr">
        <is>
          <t>Sizes available</t>
        </is>
      </c>
      <c r="E1" s="29" t="inlineStr">
        <is>
          <t>Retail EUR (range)</t>
        </is>
      </c>
      <c r="F1" s="29" t="inlineStr">
        <is>
          <t>Total stock</t>
        </is>
      </c>
    </row>
    <row r="2">
      <c r="A2" s="20" t="inlineStr">
        <is>
          <t>SOFT ESSENTIAL TOP</t>
        </is>
      </c>
      <c r="B2" s="20" t="inlineStr">
        <is>
          <t>Aci Kahve 1</t>
        </is>
      </c>
      <c r="C2" s="19" t="n">
        <v>4</v>
      </c>
      <c r="D2" s="20" t="inlineStr">
        <is>
          <t>XS, S, M, L</t>
        </is>
      </c>
      <c r="E2" s="19" t="inlineStr">
        <is>
          <t>55.00</t>
        </is>
      </c>
      <c r="F2" s="19" t="n">
        <v>201</v>
      </c>
    </row>
    <row r="3">
      <c r="A3" s="20" t="inlineStr">
        <is>
          <t>SOFT ESSENTIAL TOP</t>
        </is>
      </c>
      <c r="B3" s="20" t="inlineStr">
        <is>
          <t>Baby Blue</t>
        </is>
      </c>
      <c r="C3" s="19" t="n">
        <v>4</v>
      </c>
      <c r="D3" s="20" t="inlineStr">
        <is>
          <t>XS, S, M, L</t>
        </is>
      </c>
      <c r="E3" s="19" t="inlineStr">
        <is>
          <t>55.00</t>
        </is>
      </c>
      <c r="F3" s="19" t="n">
        <v>184</v>
      </c>
    </row>
    <row r="4">
      <c r="A4" s="20" t="inlineStr">
        <is>
          <t>SOFT ESSENTIAL TOP</t>
        </is>
      </c>
      <c r="B4" s="20" t="inlineStr">
        <is>
          <t>Black</t>
        </is>
      </c>
      <c r="C4" s="19" t="n">
        <v>4</v>
      </c>
      <c r="D4" s="20" t="inlineStr">
        <is>
          <t>XS, S, M, L</t>
        </is>
      </c>
      <c r="E4" s="19" t="inlineStr">
        <is>
          <t>55.00</t>
        </is>
      </c>
      <c r="F4" s="19" t="n">
        <v>206</v>
      </c>
    </row>
    <row r="5">
      <c r="A5" s="20" t="inlineStr">
        <is>
          <t>SOFT ESSENTIAL TOP</t>
        </is>
      </c>
      <c r="B5" s="20" t="inlineStr">
        <is>
          <t>Burgundy</t>
        </is>
      </c>
      <c r="C5" s="19" t="n">
        <v>4</v>
      </c>
      <c r="D5" s="20" t="inlineStr">
        <is>
          <t>XS, S, M, L</t>
        </is>
      </c>
      <c r="E5" s="19" t="inlineStr">
        <is>
          <t>55.00</t>
        </is>
      </c>
      <c r="F5" s="19" t="n">
        <v>221</v>
      </c>
    </row>
    <row r="6">
      <c r="A6" s="20" t="inlineStr">
        <is>
          <t>SOFT ESSENTIAL TOP</t>
        </is>
      </c>
      <c r="B6" s="20" t="inlineStr">
        <is>
          <t>Butter Yellow</t>
        </is>
      </c>
      <c r="C6" s="19" t="n">
        <v>4</v>
      </c>
      <c r="D6" s="20" t="inlineStr">
        <is>
          <t>XS, S, M, L</t>
        </is>
      </c>
      <c r="E6" s="19" t="inlineStr">
        <is>
          <t>55.00</t>
        </is>
      </c>
      <c r="F6" s="19" t="n">
        <v>403</v>
      </c>
    </row>
    <row r="7">
      <c r="A7" s="20" t="inlineStr">
        <is>
          <t>SOFT ESSENTIAL TOP</t>
        </is>
      </c>
      <c r="B7" s="20" t="inlineStr">
        <is>
          <t>Grey Melange</t>
        </is>
      </c>
      <c r="C7" s="19" t="n">
        <v>4</v>
      </c>
      <c r="D7" s="20" t="inlineStr">
        <is>
          <t>XS, S, M, L</t>
        </is>
      </c>
      <c r="E7" s="19" t="inlineStr">
        <is>
          <t>55.00</t>
        </is>
      </c>
      <c r="F7" s="19" t="n">
        <v>205</v>
      </c>
    </row>
    <row r="8">
      <c r="A8" s="20" t="inlineStr">
        <is>
          <t>SOFT ESSENTIAL TOP</t>
        </is>
      </c>
      <c r="B8" s="20" t="inlineStr">
        <is>
          <t>Koyu Vizon</t>
        </is>
      </c>
      <c r="C8" s="19" t="n">
        <v>3</v>
      </c>
      <c r="D8" s="20" t="inlineStr">
        <is>
          <t>XS, S, L</t>
        </is>
      </c>
      <c r="E8" s="19" t="inlineStr">
        <is>
          <t>55.00</t>
        </is>
      </c>
      <c r="F8" s="19" t="n">
        <v>76</v>
      </c>
    </row>
    <row r="9">
      <c r="A9" s="20" t="inlineStr">
        <is>
          <t>SOFT ESSENTIAL TOP</t>
        </is>
      </c>
      <c r="B9" s="20" t="inlineStr">
        <is>
          <t>Stone</t>
        </is>
      </c>
      <c r="C9" s="19" t="n">
        <v>4</v>
      </c>
      <c r="D9" s="20" t="inlineStr">
        <is>
          <t>XS, S, M, L</t>
        </is>
      </c>
      <c r="E9" s="19" t="inlineStr">
        <is>
          <t>55.00</t>
        </is>
      </c>
      <c r="F9" s="19" t="n">
        <v>242</v>
      </c>
    </row>
    <row r="10">
      <c r="A10" s="20" t="inlineStr">
        <is>
          <t>SOFT ESSENTIAL TOP</t>
        </is>
      </c>
      <c r="B10" s="20" t="inlineStr">
        <is>
          <t>ekru</t>
        </is>
      </c>
      <c r="C10" s="19" t="n">
        <v>4</v>
      </c>
      <c r="D10" s="20" t="inlineStr">
        <is>
          <t>XS, S, M, L</t>
        </is>
      </c>
      <c r="E10" s="19" t="inlineStr">
        <is>
          <t>55.00</t>
        </is>
      </c>
      <c r="F10" s="19" t="n">
        <v>160</v>
      </c>
    </row>
    <row r="11">
      <c r="A11" s="20" t="inlineStr">
        <is>
          <t>SOFT ESSENTIAL TOP</t>
        </is>
      </c>
      <c r="B11" s="20" t="inlineStr">
        <is>
          <t>red</t>
        </is>
      </c>
      <c r="C11" s="19" t="n">
        <v>4</v>
      </c>
      <c r="D11" s="20" t="inlineStr">
        <is>
          <t>XS, S, M, L</t>
        </is>
      </c>
      <c r="E11" s="19" t="inlineStr">
        <is>
          <t>55.00</t>
        </is>
      </c>
      <c r="F11" s="19" t="n">
        <v>316</v>
      </c>
    </row>
    <row r="12">
      <c r="A12" s="20" t="inlineStr">
        <is>
          <t>SOFT LOUNGE KIMONO</t>
        </is>
      </c>
      <c r="B12" s="20" t="inlineStr">
        <is>
          <t>Baby Blue</t>
        </is>
      </c>
      <c r="C12" s="19" t="n">
        <v>1</v>
      </c>
      <c r="D12" s="20" t="inlineStr">
        <is>
          <t>STANDART</t>
        </is>
      </c>
      <c r="E12" s="19" t="inlineStr">
        <is>
          <t>95.00</t>
        </is>
      </c>
      <c r="F12" s="19" t="n">
        <v>23</v>
      </c>
    </row>
    <row r="13">
      <c r="A13" s="20" t="inlineStr">
        <is>
          <t>SOFT LOUNGE KIMONO</t>
        </is>
      </c>
      <c r="B13" s="20" t="inlineStr">
        <is>
          <t>Bitter Coffee</t>
        </is>
      </c>
      <c r="C13" s="19" t="n">
        <v>1</v>
      </c>
      <c r="D13" s="20" t="inlineStr">
        <is>
          <t>STANDART</t>
        </is>
      </c>
      <c r="E13" s="19" t="inlineStr">
        <is>
          <t>95.00</t>
        </is>
      </c>
      <c r="F13" s="19" t="n">
        <v>112</v>
      </c>
    </row>
    <row r="14">
      <c r="A14" s="20" t="inlineStr">
        <is>
          <t>SOFT LOUNGE KIMONO</t>
        </is>
      </c>
      <c r="B14" s="20" t="inlineStr">
        <is>
          <t>Black</t>
        </is>
      </c>
      <c r="C14" s="19" t="n">
        <v>1</v>
      </c>
      <c r="D14" s="20" t="inlineStr">
        <is>
          <t>STANDART</t>
        </is>
      </c>
      <c r="E14" s="19" t="inlineStr">
        <is>
          <t>95.00</t>
        </is>
      </c>
      <c r="F14" s="19" t="n">
        <v>49</v>
      </c>
    </row>
    <row r="15">
      <c r="A15" s="20" t="inlineStr">
        <is>
          <t>SOFT LOUNGE KIMONO</t>
        </is>
      </c>
      <c r="B15" s="20" t="inlineStr">
        <is>
          <t>Burgundy</t>
        </is>
      </c>
      <c r="C15" s="19" t="n">
        <v>1</v>
      </c>
      <c r="D15" s="20" t="inlineStr">
        <is>
          <t>STANDART</t>
        </is>
      </c>
      <c r="E15" s="19" t="inlineStr">
        <is>
          <t>95.00</t>
        </is>
      </c>
      <c r="F15" s="19" t="n">
        <v>41</v>
      </c>
    </row>
    <row r="16">
      <c r="A16" s="20" t="inlineStr">
        <is>
          <t>SOFT LOUNGE KIMONO</t>
        </is>
      </c>
      <c r="B16" s="20" t="inlineStr">
        <is>
          <t>Butter Yellow</t>
        </is>
      </c>
      <c r="C16" s="19" t="n">
        <v>1</v>
      </c>
      <c r="D16" s="20" t="inlineStr">
        <is>
          <t>STANDART</t>
        </is>
      </c>
      <c r="E16" s="19" t="inlineStr">
        <is>
          <t>95.00</t>
        </is>
      </c>
      <c r="F16" s="19" t="n">
        <v>37</v>
      </c>
    </row>
    <row r="17">
      <c r="A17" s="20" t="inlineStr">
        <is>
          <t>SOFT LOUNGE KIMONO</t>
        </is>
      </c>
      <c r="B17" s="20" t="inlineStr">
        <is>
          <t>Grey Melange</t>
        </is>
      </c>
      <c r="C17" s="19" t="n">
        <v>1</v>
      </c>
      <c r="D17" s="20" t="inlineStr">
        <is>
          <t>STANDART</t>
        </is>
      </c>
      <c r="E17" s="19" t="inlineStr">
        <is>
          <t>95.00</t>
        </is>
      </c>
      <c r="F17" s="19" t="n">
        <v>0</v>
      </c>
    </row>
    <row r="18">
      <c r="A18" s="20" t="inlineStr">
        <is>
          <t>SOFT LOUNGE KIMONO</t>
        </is>
      </c>
      <c r="B18" s="20" t="inlineStr">
        <is>
          <t>Mink</t>
        </is>
      </c>
      <c r="C18" s="19" t="n">
        <v>1</v>
      </c>
      <c r="D18" s="20" t="inlineStr">
        <is>
          <t>STANDART</t>
        </is>
      </c>
      <c r="E18" s="19" t="inlineStr">
        <is>
          <t>95.00</t>
        </is>
      </c>
      <c r="F18" s="19" t="n">
        <v>56</v>
      </c>
    </row>
    <row r="19">
      <c r="A19" s="20" t="inlineStr">
        <is>
          <t>SOFT LOUNGE KIMONO</t>
        </is>
      </c>
      <c r="B19" s="20" t="inlineStr">
        <is>
          <t>Stone</t>
        </is>
      </c>
      <c r="C19" s="19" t="n">
        <v>1</v>
      </c>
      <c r="D19" s="20" t="inlineStr">
        <is>
          <t>STANDART</t>
        </is>
      </c>
      <c r="E19" s="19" t="inlineStr">
        <is>
          <t>95.00</t>
        </is>
      </c>
      <c r="F19" s="19" t="n">
        <v>114</v>
      </c>
    </row>
    <row r="20">
      <c r="A20" s="20" t="inlineStr">
        <is>
          <t>SOFT LOUNGE KIMONO</t>
        </is>
      </c>
      <c r="B20" s="20" t="inlineStr">
        <is>
          <t>White</t>
        </is>
      </c>
      <c r="C20" s="19" t="n">
        <v>1</v>
      </c>
      <c r="D20" s="20" t="inlineStr">
        <is>
          <t>STANDART</t>
        </is>
      </c>
      <c r="E20" s="19" t="inlineStr">
        <is>
          <t>95.00</t>
        </is>
      </c>
      <c r="F20" s="19" t="n">
        <v>54</v>
      </c>
    </row>
    <row r="21">
      <c r="A21" s="20" t="inlineStr">
        <is>
          <t>SOFT LOUNGE KIMONO</t>
        </is>
      </c>
      <c r="B21" s="20" t="inlineStr">
        <is>
          <t>red</t>
        </is>
      </c>
      <c r="C21" s="19" t="n">
        <v>1</v>
      </c>
      <c r="D21" s="20" t="inlineStr">
        <is>
          <t>STANDART</t>
        </is>
      </c>
      <c r="E21" s="19" t="inlineStr">
        <is>
          <t>95.00</t>
        </is>
      </c>
      <c r="F21" s="19" t="n">
        <v>46</v>
      </c>
    </row>
    <row r="22">
      <c r="A22" s="20" t="inlineStr">
        <is>
          <t>SOFT LOUNGE LONG TEE</t>
        </is>
      </c>
      <c r="B22" s="20" t="inlineStr">
        <is>
          <t>Baby Blue</t>
        </is>
      </c>
      <c r="C22" s="19" t="n">
        <v>4</v>
      </c>
      <c r="D22" s="20" t="inlineStr">
        <is>
          <t>XS, S, M, L</t>
        </is>
      </c>
      <c r="E22" s="19" t="inlineStr">
        <is>
          <t>65.00</t>
        </is>
      </c>
      <c r="F22" s="19" t="n">
        <v>115</v>
      </c>
    </row>
    <row r="23">
      <c r="A23" s="20" t="inlineStr">
        <is>
          <t>SOFT LOUNGE LONG TEE</t>
        </is>
      </c>
      <c r="B23" s="20" t="inlineStr">
        <is>
          <t>Bitter Coffee</t>
        </is>
      </c>
      <c r="C23" s="19" t="n">
        <v>4</v>
      </c>
      <c r="D23" s="20" t="inlineStr">
        <is>
          <t>XS, S, M, L</t>
        </is>
      </c>
      <c r="E23" s="19" t="inlineStr">
        <is>
          <t>65.00</t>
        </is>
      </c>
      <c r="F23" s="19" t="n">
        <v>87</v>
      </c>
    </row>
    <row r="24">
      <c r="A24" s="20" t="inlineStr">
        <is>
          <t>SOFT LOUNGE LONG TEE</t>
        </is>
      </c>
      <c r="B24" s="20" t="inlineStr">
        <is>
          <t>Black</t>
        </is>
      </c>
      <c r="C24" s="19" t="n">
        <v>4</v>
      </c>
      <c r="D24" s="20" t="inlineStr">
        <is>
          <t>XS, S, M, L</t>
        </is>
      </c>
      <c r="E24" s="19" t="inlineStr">
        <is>
          <t>65.00</t>
        </is>
      </c>
      <c r="F24" s="19" t="n">
        <v>116</v>
      </c>
    </row>
    <row r="25">
      <c r="A25" s="20" t="inlineStr">
        <is>
          <t>SOFT LOUNGE LONG TEE</t>
        </is>
      </c>
      <c r="B25" s="20" t="inlineStr">
        <is>
          <t>Burgundy</t>
        </is>
      </c>
      <c r="C25" s="19" t="n">
        <v>4</v>
      </c>
      <c r="D25" s="20" t="inlineStr">
        <is>
          <t>XS, S, M, L</t>
        </is>
      </c>
      <c r="E25" s="19" t="inlineStr">
        <is>
          <t>65.00</t>
        </is>
      </c>
      <c r="F25" s="19" t="n">
        <v>149</v>
      </c>
    </row>
    <row r="26">
      <c r="A26" s="20" t="inlineStr">
        <is>
          <t>SOFT LOUNGE LONG TEE</t>
        </is>
      </c>
      <c r="B26" s="20" t="inlineStr">
        <is>
          <t>Butter Yellow</t>
        </is>
      </c>
      <c r="C26" s="19" t="n">
        <v>4</v>
      </c>
      <c r="D26" s="20" t="inlineStr">
        <is>
          <t>XS, S, M, L</t>
        </is>
      </c>
      <c r="E26" s="19" t="inlineStr">
        <is>
          <t>65.00</t>
        </is>
      </c>
      <c r="F26" s="19" t="n">
        <v>145</v>
      </c>
    </row>
    <row r="27">
      <c r="A27" s="20" t="inlineStr">
        <is>
          <t>SOFT LOUNGE LONG TEE</t>
        </is>
      </c>
      <c r="B27" s="20" t="inlineStr">
        <is>
          <t>Grey Melange</t>
        </is>
      </c>
      <c r="C27" s="19" t="n">
        <v>4</v>
      </c>
      <c r="D27" s="20" t="inlineStr">
        <is>
          <t>XS, S, M, L</t>
        </is>
      </c>
      <c r="E27" s="19" t="inlineStr">
        <is>
          <t>65.00</t>
        </is>
      </c>
      <c r="F27" s="19" t="n">
        <v>50</v>
      </c>
    </row>
    <row r="28">
      <c r="A28" s="20" t="inlineStr">
        <is>
          <t>SOFT LOUNGE LONG TEE</t>
        </is>
      </c>
      <c r="B28" s="20" t="inlineStr">
        <is>
          <t>Mink</t>
        </is>
      </c>
      <c r="C28" s="19" t="n">
        <v>4</v>
      </c>
      <c r="D28" s="20" t="inlineStr">
        <is>
          <t>XS, S, M, L</t>
        </is>
      </c>
      <c r="E28" s="19" t="inlineStr">
        <is>
          <t>65.00</t>
        </is>
      </c>
      <c r="F28" s="19" t="n">
        <v>143</v>
      </c>
    </row>
    <row r="29">
      <c r="A29" s="20" t="inlineStr">
        <is>
          <t>SOFT LOUNGE LONG TEE</t>
        </is>
      </c>
      <c r="B29" s="20" t="inlineStr">
        <is>
          <t>Red</t>
        </is>
      </c>
      <c r="C29" s="19" t="n">
        <v>4</v>
      </c>
      <c r="D29" s="20" t="inlineStr">
        <is>
          <t>XS, S, M, L</t>
        </is>
      </c>
      <c r="E29" s="19" t="inlineStr">
        <is>
          <t>65.00</t>
        </is>
      </c>
      <c r="F29" s="19" t="n">
        <v>176</v>
      </c>
    </row>
    <row r="30">
      <c r="A30" s="20" t="inlineStr">
        <is>
          <t>SOFT LOUNGE LONG TEE</t>
        </is>
      </c>
      <c r="B30" s="20" t="inlineStr">
        <is>
          <t>Stone</t>
        </is>
      </c>
      <c r="C30" s="19" t="n">
        <v>4</v>
      </c>
      <c r="D30" s="20" t="inlineStr">
        <is>
          <t>XS, S, M, L</t>
        </is>
      </c>
      <c r="E30" s="19" t="inlineStr">
        <is>
          <t>65.00</t>
        </is>
      </c>
      <c r="F30" s="19" t="n">
        <v>161</v>
      </c>
    </row>
    <row r="31">
      <c r="A31" s="20" t="inlineStr">
        <is>
          <t>SOFT LOUNGE LONG TEE</t>
        </is>
      </c>
      <c r="B31" s="20" t="inlineStr">
        <is>
          <t>White</t>
        </is>
      </c>
      <c r="C31" s="19" t="n">
        <v>4</v>
      </c>
      <c r="D31" s="20" t="inlineStr">
        <is>
          <t>XS, S, M, L</t>
        </is>
      </c>
      <c r="E31" s="19" t="inlineStr">
        <is>
          <t>65.00</t>
        </is>
      </c>
      <c r="F31" s="19" t="n">
        <v>171</v>
      </c>
    </row>
    <row r="32">
      <c r="A32" s="20" t="inlineStr">
        <is>
          <t>SOFT LOUNGE PANT</t>
        </is>
      </c>
      <c r="B32" s="20" t="inlineStr">
        <is>
          <t>Baby Blue</t>
        </is>
      </c>
      <c r="C32" s="19" t="n">
        <v>2</v>
      </c>
      <c r="D32" s="20" t="inlineStr">
        <is>
          <t>XS-S, M-L</t>
        </is>
      </c>
      <c r="E32" s="19" t="inlineStr">
        <is>
          <t>75.00</t>
        </is>
      </c>
      <c r="F32" s="19" t="n">
        <v>169</v>
      </c>
    </row>
    <row r="33">
      <c r="A33" s="20" t="inlineStr">
        <is>
          <t>SOFT LOUNGE PANT</t>
        </is>
      </c>
      <c r="B33" s="20" t="inlineStr">
        <is>
          <t>Bitter Coffee</t>
        </is>
      </c>
      <c r="C33" s="19" t="n">
        <v>2</v>
      </c>
      <c r="D33" s="20" t="inlineStr">
        <is>
          <t>XS-S, M-L</t>
        </is>
      </c>
      <c r="E33" s="19" t="inlineStr">
        <is>
          <t>75.00</t>
        </is>
      </c>
      <c r="F33" s="19" t="n">
        <v>85</v>
      </c>
    </row>
    <row r="34">
      <c r="A34" s="20" t="inlineStr">
        <is>
          <t>SOFT LOUNGE PANT</t>
        </is>
      </c>
      <c r="B34" s="20" t="inlineStr">
        <is>
          <t>Black</t>
        </is>
      </c>
      <c r="C34" s="19" t="n">
        <v>2</v>
      </c>
      <c r="D34" s="20" t="inlineStr">
        <is>
          <t>XS-S, M-L</t>
        </is>
      </c>
      <c r="E34" s="19" t="inlineStr">
        <is>
          <t>75.00</t>
        </is>
      </c>
      <c r="F34" s="19" t="n">
        <v>78</v>
      </c>
    </row>
    <row r="35">
      <c r="A35" s="20" t="inlineStr">
        <is>
          <t>SOFT LOUNGE PANT</t>
        </is>
      </c>
      <c r="B35" s="20" t="inlineStr">
        <is>
          <t>Burgundy</t>
        </is>
      </c>
      <c r="C35" s="19" t="n">
        <v>2</v>
      </c>
      <c r="D35" s="20" t="inlineStr">
        <is>
          <t>XS-S, M-L</t>
        </is>
      </c>
      <c r="E35" s="19" t="inlineStr">
        <is>
          <t>75.00</t>
        </is>
      </c>
      <c r="F35" s="19" t="n">
        <v>181</v>
      </c>
    </row>
    <row r="36">
      <c r="A36" s="20" t="inlineStr">
        <is>
          <t>SOFT LOUNGE PANT</t>
        </is>
      </c>
      <c r="B36" s="20" t="inlineStr">
        <is>
          <t>Butter Yellow</t>
        </is>
      </c>
      <c r="C36" s="19" t="n">
        <v>2</v>
      </c>
      <c r="D36" s="20" t="inlineStr">
        <is>
          <t>XS-S, M-L</t>
        </is>
      </c>
      <c r="E36" s="19" t="inlineStr">
        <is>
          <t>75.00</t>
        </is>
      </c>
      <c r="F36" s="19" t="n">
        <v>25</v>
      </c>
    </row>
    <row r="37">
      <c r="A37" s="20" t="inlineStr">
        <is>
          <t>SOFT LOUNGE PANT</t>
        </is>
      </c>
      <c r="B37" s="20" t="inlineStr">
        <is>
          <t>Grey Melange</t>
        </is>
      </c>
      <c r="C37" s="19" t="n">
        <v>2</v>
      </c>
      <c r="D37" s="20" t="inlineStr">
        <is>
          <t>XS-S, M-L</t>
        </is>
      </c>
      <c r="E37" s="19" t="inlineStr">
        <is>
          <t>75.00</t>
        </is>
      </c>
      <c r="F37" s="19" t="n">
        <v>55</v>
      </c>
    </row>
    <row r="38">
      <c r="A38" s="20" t="inlineStr">
        <is>
          <t>SOFT LOUNGE PANT</t>
        </is>
      </c>
      <c r="B38" s="20" t="inlineStr">
        <is>
          <t>Mink</t>
        </is>
      </c>
      <c r="C38" s="19" t="n">
        <v>1</v>
      </c>
      <c r="D38" s="20" t="inlineStr">
        <is>
          <t>XS-S</t>
        </is>
      </c>
      <c r="E38" s="19" t="inlineStr">
        <is>
          <t>75.00</t>
        </is>
      </c>
      <c r="F38" s="19" t="n">
        <v>17</v>
      </c>
    </row>
    <row r="39">
      <c r="A39" s="20" t="inlineStr">
        <is>
          <t>SOFT LOUNGE PANT</t>
        </is>
      </c>
      <c r="B39" s="20" t="inlineStr">
        <is>
          <t>Stone</t>
        </is>
      </c>
      <c r="C39" s="19" t="n">
        <v>2</v>
      </c>
      <c r="D39" s="20" t="inlineStr">
        <is>
          <t>XS-S, M-L</t>
        </is>
      </c>
      <c r="E39" s="19" t="inlineStr">
        <is>
          <t>75.00</t>
        </is>
      </c>
      <c r="F39" s="19" t="n">
        <v>151</v>
      </c>
    </row>
    <row r="40">
      <c r="A40" s="20" t="inlineStr">
        <is>
          <t>SOFT LOUNGE PANT</t>
        </is>
      </c>
      <c r="B40" s="20" t="inlineStr">
        <is>
          <t>White</t>
        </is>
      </c>
      <c r="C40" s="19" t="n">
        <v>2</v>
      </c>
      <c r="D40" s="20" t="inlineStr">
        <is>
          <t>XS-S, M-L</t>
        </is>
      </c>
      <c r="E40" s="19" t="inlineStr">
        <is>
          <t>75.00</t>
        </is>
      </c>
      <c r="F40" s="19" t="n">
        <v>169</v>
      </c>
    </row>
    <row r="41">
      <c r="A41" s="20" t="inlineStr">
        <is>
          <t>SOFT LOUNGE TEE</t>
        </is>
      </c>
      <c r="B41" s="20" t="inlineStr">
        <is>
          <t>Baby Blue</t>
        </is>
      </c>
      <c r="C41" s="19" t="n">
        <v>2</v>
      </c>
      <c r="D41" s="20" t="inlineStr">
        <is>
          <t>XS, S</t>
        </is>
      </c>
      <c r="E41" s="19" t="inlineStr">
        <is>
          <t>65.00</t>
        </is>
      </c>
      <c r="F41" s="19" t="n">
        <v>36</v>
      </c>
    </row>
    <row r="42">
      <c r="A42" s="20" t="inlineStr">
        <is>
          <t>SOFT LOUNGE TEE</t>
        </is>
      </c>
      <c r="B42" s="20" t="inlineStr">
        <is>
          <t>Black</t>
        </is>
      </c>
      <c r="C42" s="19" t="n">
        <v>1</v>
      </c>
      <c r="D42" s="20" t="inlineStr">
        <is>
          <t>XS</t>
        </is>
      </c>
      <c r="E42" s="19" t="inlineStr">
        <is>
          <t>65.00</t>
        </is>
      </c>
      <c r="F42" s="19" t="n">
        <v>10</v>
      </c>
    </row>
    <row r="43">
      <c r="A43" s="20" t="inlineStr">
        <is>
          <t>SOFT LOUNGE TEE</t>
        </is>
      </c>
      <c r="B43" s="20" t="inlineStr">
        <is>
          <t>Butter Yellow</t>
        </is>
      </c>
      <c r="C43" s="19" t="n">
        <v>1</v>
      </c>
      <c r="D43" s="20" t="inlineStr">
        <is>
          <t>XS</t>
        </is>
      </c>
      <c r="E43" s="19" t="inlineStr">
        <is>
          <t>65.00</t>
        </is>
      </c>
      <c r="F43" s="19" t="n">
        <v>6</v>
      </c>
    </row>
    <row r="44">
      <c r="A44" s="20" t="inlineStr">
        <is>
          <t>SOFT LOUNGE TEE</t>
        </is>
      </c>
      <c r="B44" s="20" t="inlineStr">
        <is>
          <t>Grey Melange</t>
        </is>
      </c>
      <c r="C44" s="19" t="n">
        <v>2</v>
      </c>
      <c r="D44" s="20" t="inlineStr">
        <is>
          <t>XS, S</t>
        </is>
      </c>
      <c r="E44" s="19" t="inlineStr">
        <is>
          <t>65.00</t>
        </is>
      </c>
      <c r="F44" s="19" t="n">
        <v>20</v>
      </c>
    </row>
    <row r="45">
      <c r="A45" s="20" t="inlineStr">
        <is>
          <t>SOFT LOUNGE TEE</t>
        </is>
      </c>
      <c r="B45" s="20" t="inlineStr">
        <is>
          <t>Red</t>
        </is>
      </c>
      <c r="C45" s="19" t="n">
        <v>2</v>
      </c>
      <c r="D45" s="20" t="inlineStr">
        <is>
          <t>XS, S</t>
        </is>
      </c>
      <c r="E45" s="19" t="inlineStr">
        <is>
          <t>65.00</t>
        </is>
      </c>
      <c r="F45" s="19" t="n">
        <v>36</v>
      </c>
    </row>
    <row r="46">
      <c r="A46" s="20" t="inlineStr">
        <is>
          <t>SOFT LOUNGE TEE</t>
        </is>
      </c>
      <c r="B46" s="20" t="inlineStr">
        <is>
          <t>Stone</t>
        </is>
      </c>
      <c r="C46" s="19" t="n">
        <v>2</v>
      </c>
      <c r="D46" s="20" t="inlineStr">
        <is>
          <t>XS, S</t>
        </is>
      </c>
      <c r="E46" s="19" t="inlineStr">
        <is>
          <t>65.00</t>
        </is>
      </c>
      <c r="F46" s="19" t="n">
        <v>43</v>
      </c>
    </row>
  </sheetData>
  <autoFilter ref="A1:F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30"/>
  <sheetViews>
    <sheetView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1">
      <c r="B1" s="30" t="inlineStr">
        <is>
          <t>LESS AND ROMANCE — Wholesale Terms</t>
        </is>
      </c>
    </row>
    <row r="2">
      <c r="B2" s="31" t="inlineStr"/>
    </row>
    <row r="3">
      <c r="B3" s="32" t="inlineStr">
        <is>
          <t>Minimum Order Quantity (MOQ)</t>
        </is>
      </c>
    </row>
    <row r="4">
      <c r="B4" s="31" t="inlineStr">
        <is>
          <t>• MOQ: €10,000 wholesale subtotal per order</t>
        </is>
      </c>
    </row>
    <row r="5">
      <c r="B5" s="31" t="inlineStr">
        <is>
          <t>• Orders ≥ €10,000 receive the full 50% off retail discount</t>
        </is>
      </c>
    </row>
    <row r="6">
      <c r="B6" s="31" t="inlineStr">
        <is>
          <t>• Orders below MOQ are accepted but with a reduced 20–25% off retail discount</t>
        </is>
      </c>
    </row>
    <row r="7">
      <c r="B7" s="31" t="inlineStr">
        <is>
          <t>• MOQ tier is calculated automatically on the 'Order Info' tab</t>
        </is>
      </c>
    </row>
    <row r="8">
      <c r="B8" s="31" t="inlineStr"/>
    </row>
    <row r="9">
      <c r="B9" s="32" t="inlineStr">
        <is>
          <t>Pricing</t>
        </is>
      </c>
    </row>
    <row r="10">
      <c r="B10" s="31" t="inlineStr">
        <is>
          <t>• All prices in EUR, net of VAT</t>
        </is>
      </c>
    </row>
    <row r="11">
      <c r="B11" s="31" t="inlineStr">
        <is>
          <t>• Full wholesale price = 50% off retail (when MOQ is met)</t>
        </is>
      </c>
    </row>
    <row r="12">
      <c r="B12" s="31" t="inlineStr">
        <is>
          <t>• Reduced wholesale price = 20–25% off retail (when MOQ is not met)</t>
        </is>
      </c>
    </row>
    <row r="13">
      <c r="B13" s="31" t="inlineStr">
        <is>
          <t>• Retail prices shown are the suggested retail price (SRP)</t>
        </is>
      </c>
    </row>
    <row r="14">
      <c r="B14" s="31" t="inlineStr"/>
    </row>
    <row r="15">
      <c r="B15" s="32" t="inlineStr">
        <is>
          <t>Payment</t>
        </is>
      </c>
    </row>
    <row r="16">
      <c r="B16" s="31" t="inlineStr">
        <is>
          <t>• 50% deposit on order confirmation</t>
        </is>
      </c>
    </row>
    <row r="17">
      <c r="B17" s="31" t="inlineStr">
        <is>
          <t>• Balance due before shipment</t>
        </is>
      </c>
    </row>
    <row r="18">
      <c r="B18" s="31" t="inlineStr">
        <is>
          <t>• Bank transfer (IBAN provided on proforma invoice)</t>
        </is>
      </c>
    </row>
    <row r="19">
      <c r="B19" s="31" t="inlineStr"/>
    </row>
    <row r="20">
      <c r="B20" s="32" t="inlineStr">
        <is>
          <t>Delivery</t>
        </is>
      </c>
    </row>
    <row r="21">
      <c r="B21" s="31" t="inlineStr">
        <is>
          <t>• Lead time: 2–4 weeks from confirmed order</t>
        </is>
      </c>
    </row>
    <row r="22">
      <c r="B22" s="31" t="inlineStr">
        <is>
          <t>• Shipping ex-works Istanbul, or DAP on request</t>
        </is>
      </c>
    </row>
    <row r="23">
      <c r="B23" s="31" t="inlineStr"/>
    </row>
    <row r="24">
      <c r="B24" s="32" t="inlineStr">
        <is>
          <t>Returns</t>
        </is>
      </c>
    </row>
    <row r="25">
      <c r="B25" s="31" t="inlineStr">
        <is>
          <t>• Wholesale orders are final sale</t>
        </is>
      </c>
    </row>
    <row r="26">
      <c r="B26" s="31" t="inlineStr">
        <is>
          <t>• Defects must be reported within 7 days of receipt</t>
        </is>
      </c>
    </row>
    <row r="27">
      <c r="B27" s="31" t="inlineStr"/>
    </row>
    <row r="28">
      <c r="B28" s="32" t="inlineStr">
        <is>
          <t>Contact</t>
        </is>
      </c>
    </row>
    <row r="29">
      <c r="B29" s="31" t="inlineStr">
        <is>
          <t>• Email: hello@lessandromance.com</t>
        </is>
      </c>
    </row>
    <row r="30">
      <c r="B30" s="31" t="inlineStr">
        <is>
          <t>• Instagram: @lessandromance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2026-05-18T14:03:11Z</dcterms:created>
  <dcterms:modified xsi:type="dcterms:W3CDTF">2026-05-18T14:03:11Z</dcterms:modified>
</cp:coreProperties>
</file>